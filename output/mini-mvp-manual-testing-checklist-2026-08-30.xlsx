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worksheets/sheet3.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worksheets/sheet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worksheets/sheet5.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5.xml" ContentType="application/vnd.openxmlformats-officedocument.spreadsheetml.table+xml"/>
  <Override PartName="/xl/worksheets/sheet6.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a09e5a809b7455d" /></Relationships>
</file>

<file path=xl/workbook.xml><?xml version="1.0" encoding="utf-8"?>
<x:workbook xmlns:x="http://schemas.openxmlformats.org/spreadsheetml/2006/main">
  <x:sheets>
    <x:sheet xmlns:r="http://schemas.openxmlformats.org/officeDocument/2006/relationships" name="Classes" sheetId="1" r:id="Re55b09edbf8f46f8"/>
    <x:sheet xmlns:r="http://schemas.openxmlformats.org/officeDocument/2006/relationships" name="Species" sheetId="2" r:id="Rbcf291800b944347"/>
    <x:sheet xmlns:r="http://schemas.openxmlformats.org/officeDocument/2006/relationships" name="Spells" sheetId="3" r:id="R67d8f9003fd34108"/>
    <x:sheet xmlns:r="http://schemas.openxmlformats.org/officeDocument/2006/relationships" name="Feats" sheetId="4" r:id="R6fd643e6eb9c407f"/>
    <x:sheet xmlns:r="http://schemas.openxmlformats.org/officeDocument/2006/relationships" name="Base Mechanics" sheetId="5" r:id="Rce2ae0d4d7784358"/>
    <x:sheet xmlns:r="http://schemas.openxmlformats.org/officeDocument/2006/relationships" name="Backgrounds" sheetId="6" r:id="R2a7aecf9684a46f0"/>
  </x:sheets>
</x:workbook>
</file>

<file path=xl/comments1.xml><?xml version="1.0" encoding="utf-8"?>
<x:comments xmlns:x="http://schemas.openxmlformats.org/spreadsheetml/2006/main">
  <x:authors>
    <x:author>tc={4FFF6D6E-29AC-4A78-935B-71838222DE3C}</x:author>
    <x:author>tc={CA8E6133-D4E1-4C02-8B24-558975BAD0E9}</x:author>
    <x:author>tc={D292DA45-D764-4CC8-B032-35F118C11A12}</x:author>
    <x:author>tc={DD65E321-0D68-4D7B-8F12-27C523AAE0C1}</x:author>
    <x:author>tc={745DD09A-F031-43FC-8F9F-6D1732CD3531}</x:author>
    <x:author>tc={02D9DEEB-B99C-4834-B336-7D4BD2CFDE7A}</x:author>
    <x:author>tc={DCAAF1A7-A514-431B-9D28-7FBA62E2F84E}</x:author>
    <x:author>tc={08E84DE5-63E8-41B0-8CE4-2674A4FFCF52}</x:author>
    <x:author>tc={A3A48CCD-9050-4549-B4D6-32948A0A53C4}</x:author>
    <x:author>tc={8FF742AE-9831-45AC-A7B6-4AAA9CDC626B}</x:author>
    <x:author>tc={54844EFB-336C-452D-8702-1EA92230EC45}</x:author>
    <x:author>tc={02879C0D-9CFA-4176-A1A2-7D0899DA8634}</x:author>
    <x:author>tc={C15B030E-6835-4E03-AA14-B73C44B7461E}</x:author>
    <x:author>tc={9ACECE35-6348-4902-88DA-EDD1DBC12358}</x:author>
    <x:author>tc={89D2EB99-1394-49CC-AD68-05475CC997A2}</x:author>
    <x:author>tc={08E441B4-0178-4F18-838F-1627FA76B82B}</x:author>
    <x:author>tc={C5C14767-7B56-4B7E-811C-A81405DF6871}</x:author>
    <x:author>tc={91655F03-FA9D-48CD-9773-8956DF7138A4}</x:author>
    <x:author>tc={FAD3C27D-C8F2-4C68-AEA2-08FFF4BFBD51}</x:author>
    <x:author>tc={DB7F8052-B4C2-4E7B-BE7F-3064802D5718}</x:author>
    <x:author>tc={FE71C891-E313-4B83-A147-B6E49A6D489E}</x:author>
    <x:author>tc={5E4DCAF2-5521-4385-AC26-E8B1180FACA2}</x:author>
    <x:author>tc={BA9DC460-43A7-4615-AD52-81E39A56E5B4}</x:author>
    <x:author>tc={FC319073-DFEF-421A-989B-9C13C29F5F88}</x:author>
    <x:author>tc={A8D02315-93C8-472B-965D-5574759A8E25}</x:author>
    <x:author>tc={950F0BC0-E2FD-4D88-8584-7DB2C34B936B}</x:author>
    <x:author>tc={7339060F-765A-4C11-9C99-7021F9E1019C}</x:author>
    <x:author>tc={F8FDCF6C-98D2-4917-9704-E0D4C3156B06}</x:author>
    <x:author>tc={14DA0476-D8CC-4201-BCF2-1F5707DA5D42}</x:author>
    <x:author>tc={D613EEEC-1C9E-45EE-A85D-A06030CC945D}</x:author>
    <x:author>tc={F6941BA1-7BDF-419A-8012-BFB65EBDA63C}</x:author>
    <x:author>tc={7A224961-F7B9-4D7A-8C05-7B126B11A3CC}</x:author>
    <x:author>tc={7A3BE890-C0A5-4927-94C7-50DB2F7FD585}</x:author>
    <x:author>tc={355DB2CB-D2D2-41E6-9444-75CCED6165E0}</x:author>
    <x:author>tc={157BC708-B138-440E-BB37-95D881CE7793}</x:author>
    <x:author>tc={297D78B0-0C74-4C4C-AAEE-DFFD89C16479}</x:author>
    <x:author>tc={9B82B8C7-A20E-4429-B402-6E9A030B06A1}</x:author>
    <x:author>tc={DE90C2FD-93FC-461F-AC30-200F3D78DC8C}</x:author>
    <x:author>tc={DD48A05E-4164-4ABE-973D-357A0DF07FB0}</x:author>
    <x:author>tc={FC95B23E-A980-402F-9FC1-02F7699D9103}</x:author>
    <x:author>tc={B335CCCB-6DA6-4A96-AE2B-DCA6B119F60E}</x:author>
    <x:author>tc={CB44C36A-C5CE-4DCC-806D-48D84CAC0961}</x:author>
    <x:author>tc={643542C6-E084-45F6-AB59-7D5B041061A5}</x:author>
    <x:author>tc={67D7A152-780E-4DCC-AFD7-DDF6F69F2B38}</x:author>
    <x:author>tc={2BEB1F1C-5D1E-4465-AFAB-83A12CBBB24D}</x:author>
    <x:author>tc={6704613C-E8ED-419C-8B4A-A28067C9C457}</x:author>
    <x:author>tc={89B325BE-3DFF-4212-9665-7614EBDB4A2D}</x:author>
    <x:author>tc={4E611B13-2A3C-470C-B8EF-08B7A7BB12C2}</x:author>
    <x:author>tc={333469C3-8404-4CCB-A397-B4FA30E1857C}</x:author>
    <x:author>tc={6D3D9947-8251-4189-890C-A441BB213DAB}</x:author>
    <x:author>tc={4CB45DFC-1E26-448D-A73C-410362D2D101}</x:author>
    <x:author>tc={B43D615E-FAC8-49E2-9E9E-228C14E2CAA0}</x:author>
    <x:author>tc={948F1286-C446-4883-89EA-18FB36D2E8E8}</x:author>
    <x:author>tc={8BF883F8-23E5-473C-AC69-C8984E782EF5}</x:author>
    <x:author>tc={0D815EF0-33F4-40CD-B3B1-96F2D141C1B2}</x:author>
    <x:author>tc={5614F55A-C1A6-4507-A69F-35F6805DF767}</x:author>
    <x:author>tc={BF4D2F5E-703E-4D45-8AD3-5882BC293980}</x:author>
    <x:author>tc={B231BDD3-3DAD-4141-AF42-17937D12450C}</x:author>
    <x:author>tc={1EFC6E99-BC14-4FEF-92E3-62ED69B9E930}</x:author>
    <x:author>tc={7FA7C7FC-2E02-4724-A67F-F03412BB9FFA}</x:author>
    <x:author>tc={7C5BB7BA-A359-4F70-8AA5-98E4D28F3C5F}</x:author>
    <x:author>tc={61106A3D-45BD-475C-9DD1-8F80555A9289}</x:author>
    <x:author>tc={6DB1218D-DFCB-4699-97DE-F687050D2908}</x:author>
    <x:author>tc={CAB3C312-B6F9-4EC8-98AC-8A8958824095}</x:author>
    <x:author>tc={E2F2A25F-33DE-4C29-9F66-E13409EB76CC}</x:author>
    <x:author>tc={1AF4BE92-7B87-499B-9A83-9FA6C3423D33}</x:author>
    <x:author>tc={4F5DE2D6-E78C-4D31-9932-703986E8395B}</x:author>
    <x:author>tc={B05AEC38-40C6-427B-9298-EF9F19A4130A}</x:author>
    <x:author>tc={D99AC548-BEEE-47DE-8492-92865A43FE6B}</x:author>
    <x:author>tc={7544B3B4-595D-4033-8775-90240A0EFC7C}</x:author>
    <x:author>tc={5720487D-780C-4978-AB47-B0637F20CBC2}</x:author>
    <x:author>tc={EF6A75EA-520B-45BF-B9BA-B8C5D358FAA8}</x:author>
    <x:author>tc={0748F546-689C-4A0D-98F4-883C85245596}</x:author>
    <x:author>tc={7E1EF047-E39A-4B76-B3DD-4D615163EFAF}</x:author>
  </x:authors>
  <x:commentList>
    <x:comment ref="L5" authorId="0">
      <x:text>
        <x:r>
          <x:t>[Threaded comment]
Your version of Excel allows you to read this threaded comment; however, any edits to it will get removed if the file is opened in a newer version of Excel. Learn more: https://go.microsoft.com/fwlink/?linkid=870924
Comment:
    After each browser test, record the observable result here. Add the full test evidence as a threaded cell comment and put every character UUID in the Character ID(s) column.</x:t>
        </x:r>
      </x:text>
    </x:comment>
    <x:comment ref="L23" authorId="1">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reported Bard loads with correct class chassis and usable spell actions after the Charisma repair. Combat: pending. Clarity: PASS for class identity/resources; individual abilities are tracked separately. Character ID(s): 100eb271-ad36-4045-9aea-ef0d01a9e395.</x:t>
        </x:r>
      </x:text>
    </x:comment>
    <x:comment ref="L24" authorId="2">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Bardic Inspiration charge decremented exactly once and returned on long rest. Combat: pending. Clarity: PASS — remaining/max resource is visible. Character ID(s): 100eb271-ad36-4045-9aea-ef0d01a9e395.</x:t>
        </x:r>
      </x:text>
    </x:comment>
    <x:comment ref="L25" authorId="3">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Cure Wounds spent exactly one level-1 slot and long rest restored both slots. Combat: pending. Clarity: PASS — slot count changed visibly. Character ID(s): 100eb271-ad36-4045-9aea-ef0d01a9e395.</x:t>
        </x:r>
      </x:text>
    </x:comment>
    <x:comment ref="L34" authorId="4">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on release f601e00 — bonus action and one charge consumed; compatible ally received persistent 1d6 boon after reload. Combat: pending. Clarity: PASS — recipient sees eligible rolls, consumption instruction, and “Снять вручную”. Character ID(s): 100eb271-ad36-4045-9aea-ef0d01a9e395; 84e8c110-bbba-41be-85ef-9165c376d746.</x:t>
        </x:r>
      </x:text>
    </x:comment>
    <x:comment ref="L35" authorId="5">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Mage Hand, Light, Minor Illusion, and self Cure Wounds activate with Charisma-based Bard spellcasting after migration 118. Combat: pending. Clarity: PASS for spellcasting ability/resource availability; entity outcomes tracked in Spells. Character ID(s): 100eb271-ad36-4045-9aea-ef0d01a9e395.</x:t>
        </x:r>
      </x:text>
    </x:comment>
    <x:comment ref="L36" authorId="6">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target received “Талон 1к6 (Вдохновение барда)”. Combat: pending. Clarity: PASS on f601e00 — 1d6 and eligible rolls are explicit. Character ID(s): 100eb271-ad36-4045-9aea-ef0d01a9e395; 84e8c110-bbba-41be-85ef-9165c376d746.</x:t>
        </x:r>
      </x:text>
    </x:comment>
    <x:comment ref="L69" authorId="7">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Releases abc6ee741368041b118cf3228d0cee49a71d34aa and 726c7b7aac5f78659c689f58a78986ae219cb2f7. Combat: PASS — at 6/12 HP, Second Wind rolled d10=2 + Fighter level 1, healed 3 to 9/12, consumed bonus_action and one use, and survived reload. Sheet: PASS — after resource refresh it rolled d10=10 + level 1 and capped healing at 12/12; HP and remaining availability survived reload. Clarity: PARTIAL — outcome/journal values are clear, but the shared preview card exposes raw “self_uses”/“self_level” and renders “Стоит: , self_uses”. Character ID: 84e8c110-bbba-41be-85ef-9165c376d746.</x:t>
        </x:r>
      </x:text>
    </x:comment>
    <x:comment ref="L70" authorId="8">
      <x:text>
        <x:r>
          <x:t>[Threaded comment]
Your version of Excel allows you to read this threaded comment; however, any edits to it will get removed if the file is opened in a newer version of Excel. Learn more: https://go.microsoft.com/fwlink/?linkid=870924
Comment:
    Production browser evidence, 2026-08-30. The fresh Fighter was created through Forge with Unarmed Fighting selected; the resulting sheet and combat action both received the style's d8 empty-hands damage after release abc6ee741368041b118cf3228d0cee49a71d34aa. The final action-card projection was verified on 726c7b7aac5f78659c689f58a78986ae219cb2f7. Status remains Needs retest because this generic choice row covers additional fighting-style options that are not yet manually tested. Character ID: 84e8c110-bbba-41be-85ef-9165c376d746.</x:t>
        </x:r>
      </x:text>
    </x:comment>
    <x:comment ref="L6" authorId="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7" authorId="1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8" authorId="1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9" authorId="1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10" authorId="1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11" authorId="1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t>
        </x:r>
      </x:text>
    </x:comment>
    <x:comment ref="L238" authorId="1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t>
        </x:r>
      </x:text>
    </x:comment>
    <x:comment ref="L240" authorId="1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t>
        </x:r>
      </x:text>
    </x:comment>
    <x:comment ref="L241" authorId="1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t>
        </x:r>
      </x:text>
    </x:comment>
    <x:comment ref="L242" authorId="1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t>
        </x:r>
      </x:text>
    </x:comment>
    <x:comment ref="L26" authorId="1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27" authorId="2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28" authorId="2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29" authorId="2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30" authorId="23">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spell_slot_6 first becomes available at class level 11; it is not part of the level-1 mini-MVP gate. Its Not tested status is intentionally preserved for the later-level phase.</x:t>
        </x:r>
      </x:text>
    </x:comment>
    <x:comment ref="L31" authorId="24">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spell_slot_7 first becomes available at class level 13; it is not part of the level-1 mini-MVP gate. Its Not tested status is intentionally preserved for the later-level phase.</x:t>
        </x:r>
      </x:text>
    </x:comment>
    <x:comment ref="L32" authorId="25">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spell_slot_8 first becomes available at class level 15; it is not part of the level-1 mini-MVP gate. Its Not tested status is intentionally preserved for the later-level phase.</x:t>
        </x:r>
      </x:text>
    </x:comment>
    <x:comment ref="L33" authorId="26">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spell_slot_9 first becomes available at class level 17; it is not part of the level-1 mini-MVP gate. Its Not tested status is intentionally preserved for the later-level phase.</x:t>
        </x:r>
      </x:text>
    </x:comment>
    <x:comment ref="L87" authorId="27">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88" authorId="28">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89" authorId="2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90" authorId="3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91" authorId="3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spell_slot_6 first becomes available at class level 11; it is not part of the level-1 mini-MVP gate. Its Not tested status is intentionally preserved for the later-level phase.</x:t>
        </x:r>
      </x:text>
    </x:comment>
    <x:comment ref="L92" authorId="3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spell_slot_7 first becomes available at class level 13; it is not part of the level-1 mini-MVP gate. Its Not tested status is intentionally preserved for the later-level phase.</x:t>
        </x:r>
      </x:text>
    </x:comment>
    <x:comment ref="L93" authorId="33">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spell_slot_8 first becomes available at class level 15; it is not part of the level-1 mini-MVP gate. Its Not tested status is intentionally preserved for the later-level phase.</x:t>
        </x:r>
      </x:text>
    </x:comment>
    <x:comment ref="L94" authorId="34">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spell_slot_9 first becomes available at class level 17; it is not part of the level-1 mini-MVP gate. Its Not tested status is intentionally preserved for the later-level phase.</x:t>
        </x:r>
      </x:text>
    </x:comment>
    <x:comment ref="L126" authorId="35">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127" authorId="36">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128" authorId="37">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129" authorId="38">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130" authorId="3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spell_slot_6 first becomes available at class level 11; it is not part of the level-1 mini-MVP gate. Its Not tested status is intentionally preserved for the later-level phase.</x:t>
        </x:r>
      </x:text>
    </x:comment>
    <x:comment ref="L131" authorId="4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spell_slot_7 first becomes available at class level 13; it is not part of the level-1 mini-MVP gate. Its Not tested status is intentionally preserved for the later-level phase.</x:t>
        </x:r>
      </x:text>
    </x:comment>
    <x:comment ref="L132" authorId="4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spell_slot_8 first becomes available at class level 15; it is not part of the level-1 mini-MVP gate. Its Not tested status is intentionally preserved for the later-level phase.</x:t>
        </x:r>
      </x:text>
    </x:comment>
    <x:comment ref="L133" authorId="4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spell_slot_9 first becomes available at class level 17; it is not part of the level-1 mini-MVP gate. Its Not tested status is intentionally preserved for the later-level phase.</x:t>
        </x:r>
      </x:text>
    </x:comment>
    <x:comment ref="L134" authorId="43">
      <x:text>
        <x:r>
          <x:t>[Threaded comment]
Your version of Excel allows you to read this threaded comment; however, any edits to it will get removed if the file is opened in a newer version of Excel. Learn more: https://go.microsoft.com/fwlink/?linkid=870924
Comment:
    Checklist inventory correction: wild_shape first becomes available at class level 2; it is not part of the level-1 mini-MVP gate. Its Not tested status is intentionally preserved for the later-level phase.</x:t>
        </x:r>
      </x:text>
    </x:comment>
    <x:comment ref="L167" authorId="44">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168" authorId="45">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169" authorId="46">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170" authorId="47">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171" authorId="48">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spell_slot_6 first becomes available at class level 11; it is not part of the level-1 mini-MVP gate. Its Not tested status is intentionally preserved for the later-level phase.</x:t>
        </x:r>
      </x:text>
    </x:comment>
    <x:comment ref="L172" authorId="4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spell_slot_7 first becomes available at class level 13; it is not part of the level-1 mini-MVP gate. Its Not tested status is intentionally preserved for the later-level phase.</x:t>
        </x:r>
      </x:text>
    </x:comment>
    <x:comment ref="L173" authorId="5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spell_slot_8 first becomes available at class level 15; it is not part of the level-1 mini-MVP gate. Its Not tested status is intentionally preserved for the later-level phase.</x:t>
        </x:r>
      </x:text>
    </x:comment>
    <x:comment ref="L174" authorId="5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spell_slot_9 first becomes available at class level 17; it is not part of the level-1 mini-MVP gate. Its Not tested status is intentionally preserved for the later-level phase.</x:t>
        </x:r>
      </x:text>
    </x:comment>
    <x:comment ref="L206" authorId="5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207" authorId="53">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208" authorId="54">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209" authorId="55">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239" authorId="56">
      <x:text>
        <x:r>
          <x:t>[Threaded comment]
Your version of Excel allows you to read this threaded comment; however, any edits to it will get removed if the file is opened in a newer version of Excel. Learn more: https://go.microsoft.com/fwlink/?linkid=870924
Comment:
    Checklist inventory correction: focus first becomes available at class level 2; it is not part of the level-1 mini-MVP gate. Its Not tested status is intentionally preserved for the later-level phase.</x:t>
        </x:r>
      </x:text>
    </x:comment>
    <x:comment ref="L256" authorId="57">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257" authorId="58">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258" authorId="5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259" authorId="6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306" authorId="6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307" authorId="6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308" authorId="63">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309" authorId="64">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342" authorId="65">
      <x:text>
        <x:r>
          <x:t>[Threaded comment]
Your version of Excel allows you to read this threaded comment; however, any edits to it will get removed if the file is opened in a newer version of Excel. Learn more: https://go.microsoft.com/fwlink/?linkid=870924
Comment:
    Checklist inventory correction: sorcery_points first becomes available at class level 2; it is not part of the level-1 mini-MVP gate. Its Not tested status is intentionally preserved for the later-level phase.</x:t>
        </x:r>
      </x:text>
    </x:comment>
    <x:comment ref="L344" authorId="66">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spell_slot_2 first becomes available at class level 3; it is not part of the level-1 mini-MVP gate. Its Not tested status is intentionally preserved for the later-level phase.</x:t>
        </x:r>
      </x:text>
    </x:comment>
    <x:comment ref="L345" authorId="67">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spell_slot_3 first becomes available at class level 5; it is not part of the level-1 mini-MVP gate. Its Not tested status is intentionally preserved for the later-level phase.</x:t>
        </x:r>
      </x:text>
    </x:comment>
    <x:comment ref="L346" authorId="68">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spell_slot_4 first becomes available at class level 7; it is not part of the level-1 mini-MVP gate. Its Not tested status is intentionally preserved for the later-level phase.</x:t>
        </x:r>
      </x:text>
    </x:comment>
    <x:comment ref="L347" authorId="69">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spell_slot_5 first becomes available at class level 9; it is not part of the level-1 mini-MVP gate. Its Not tested status is intentionally preserved for the later-level phase.</x:t>
        </x:r>
      </x:text>
    </x:comment>
    <x:comment ref="L348" authorId="70">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spell_slot_6 first becomes available at class level 11; it is not part of the level-1 mini-MVP gate. Its Not tested status is intentionally preserved for the later-level phase.</x:t>
        </x:r>
      </x:text>
    </x:comment>
    <x:comment ref="L349" authorId="71">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spell_slot_7 first becomes available at class level 13; it is not part of the level-1 mini-MVP gate. Its Not tested status is intentionally preserved for the later-level phase.</x:t>
        </x:r>
      </x:text>
    </x:comment>
    <x:comment ref="L350" authorId="72">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spell_slot_8 first becomes available at class level 15; it is not part of the level-1 mini-MVP gate. Its Not tested status is intentionally preserved for the later-level phase.</x:t>
        </x:r>
      </x:text>
    </x:comment>
    <x:comment ref="L351" authorId="73">
      <x:text>
        <x:r>
          <x:t>[Threaded comment]
Your version of Excel allows you to read this threaded comment; however, any edits to it will get removed if the file is opened in a newer version of Excel. Learn more: https://go.microsoft.com/fwlink/?linkid=870924
Comment:
    Checklist inventory correction: spell_slot_9 first becomes available at class level 17; it is not part of the level-1 mini-MVP gate. Its Not tested status is intentionally preserved for the later-level phase.</x:t>
        </x:r>
      </x:text>
    </x:comment>
  </x:commentList>
</x:comments>
</file>

<file path=xl/comments2.xml><?xml version="1.0" encoding="utf-8"?>
<x:comments xmlns:x="http://schemas.openxmlformats.org/spreadsheetml/2006/main">
  <x:authors>
    <x:author>tc={382CAB03-3F5D-4284-B471-26F33C0A8C9D}</x:author>
    <x:author>tc={9DCD9B5F-2D4C-4785-AB96-84E73B27FFD5}</x:author>
    <x:author>tc={A471109D-E76A-4830-BBDE-1FAD72EA4172}</x:author>
    <x:author>tc={6C9D56C5-4526-4F35-9783-BAA502B47F60}</x:author>
    <x:author>tc={7699E303-B0BA-4D73-8D7C-B754FF32D7FA}</x:author>
    <x:author>tc={6B0D3083-5E17-4F92-940A-40A4CEA62E63}</x:author>
    <x:author>tc={57175BE7-E70B-4D65-83BE-A62C80B7D193}</x:author>
    <x:author>tc={7EFEFF83-A8EA-48EC-82C4-2FC1EF8DC7B8}</x:author>
    <x:author>tc={03AD2012-C78E-40F8-BF01-BE1AFD62C4E4}</x:author>
    <x:author>tc={4744E2D2-893D-4E26-953F-03D443004BA0}</x:author>
    <x:author>tc={3F6FCAF7-8028-4244-9277-078AE1F672EA}</x:author>
    <x:author>tc={A0FF1BF2-59F4-46F7-9A7E-8A031C75AB4F}</x:author>
    <x:author>tc={89346AA8-626F-42A1-8D5F-FA1260BD9DDB}</x:author>
    <x:author>tc={95CB2628-07F7-4262-AE16-BE4C176B09E7}</x:author>
    <x:author>tc={81F15162-9D31-48BC-967D-93D1C661F749}</x:author>
    <x:author>tc={523291D2-4E2C-4063-8907-178617A3D6DF}</x:author>
    <x:author>tc={35031B06-D21F-454D-8D92-5E63E03FE091}</x:author>
    <x:author>tc={4EB343A3-2451-4183-B612-4E894E88F86D}</x:author>
    <x:author>tc={9A16D9A7-7387-40BC-8543-5C99A6ACA67C}</x:author>
    <x:author>tc={324D226D-CF2E-475F-AAC6-59BBE5474D1A}</x:author>
    <x:author>tc={819CBD00-94CE-4054-9445-8211EA12CBC6}</x:author>
    <x:author>tc={16F62D03-2F16-4920-827F-D0E0802EB7F5}</x:author>
    <x:author>tc={21717FF7-E1BA-4A51-A95F-8E8406E6ABA9}</x:author>
    <x:author>tc={A8B915CE-8FD5-4E9C-9328-82E26F3EF6AD}</x:author>
    <x:author>tc={4E3C0E6B-DDF6-44BA-9E74-EF2910CF6B43}</x:author>
    <x:author>tc={A975AACC-6E59-4AE9-BACB-183AEDE86BA2}</x:author>
    <x:author>tc={6E4DF219-E0EC-4F4A-8869-E98FE3C340D0}</x:author>
    <x:author>tc={D5903AB8-E0EF-44F1-884B-4D40535BE5D9}</x:author>
    <x:author>tc={653795C0-DCF7-4FF4-A263-A893465DA031}</x:author>
    <x:author>tc={1D02F8D7-A5D5-49E9-86AA-22109A062B2A}</x:author>
    <x:author>tc={4570F82D-F635-40B1-8556-62EE95AE31C1}</x:author>
    <x:author>tc={A9D4F4F4-82E2-4F90-AFFC-8A53349C1611}</x:author>
    <x:author>tc={B520F035-8977-4C4C-9BE0-1969E4948C42}</x:author>
    <x:author>tc={B41216D1-DBC3-4C89-A01E-799265978E99}</x:author>
    <x:author>tc={5587BEA9-73E3-4C11-A31A-2EC947EC5658}</x:author>
    <x:author>tc={BA534844-3DFA-4403-8891-9CBDC88725E3}</x:author>
    <x:author>tc={31D365FD-3F6C-4665-A379-FD45C66AEB08}</x:author>
    <x:author>tc={A4C6C547-7E62-4DF6-AE66-FB0E69B2CA1D}</x:author>
    <x:author>tc={1C4FBDE9-800E-4AC2-907D-121EB8809784}</x:author>
    <x:author>tc={BCDF8C05-6D83-43E9-94A5-8EF1D7482B71}</x:author>
    <x:author>tc={37AF49BA-98EF-4A22-B7CA-281E7A92624D}</x:author>
    <x:author>tc={836CFF52-2DE2-4998-A377-90AAC22F3E5E}</x:author>
    <x:author>tc={9435AE14-1FA6-4074-ABD0-3082E822D385}</x:author>
    <x:author>tc={8F35DDD7-386A-4E6E-8ADE-D177F73E153E}</x:author>
    <x:author>tc={96AE0136-F624-4288-BCEC-1FC2C40681BD}</x:author>
    <x:author>tc={5AE7CB9F-8C4E-4E06-B1A6-70D2C557575F}</x:author>
    <x:author>tc={C0F53D67-0EAD-4D8A-80D8-E3143B8B5480}</x:author>
    <x:author>tc={AAFEBB97-A2D6-41C3-83B2-AC8582A4AB2D}</x:author>
    <x:author>tc={89E83359-E31D-4BD7-A3CF-616D9AE6BD93}</x:author>
    <x:author>tc={D712703D-2CD2-4C5E-A59D-2CADB249B426}</x:author>
    <x:author>tc={BF10A1CB-C1F6-464E-A526-C3B4EBE0C8A0}</x:author>
    <x:author>tc={493AE420-2C0F-4846-9D80-DE45C2A33314}</x:author>
    <x:author>tc={76E478A4-8565-4E74-802D-6F1C94271BED}</x:author>
    <x:author>tc={6CCF9707-3054-4262-B1A3-93E99A04C175}</x:author>
    <x:author>tc={8DBD37DD-E01C-4403-88A6-EE7685EF09B1}</x:author>
    <x:author>tc={52314068-2016-45C6-AFEB-A676FA099C1A}</x:author>
    <x:author>tc={CEFF19EF-77E0-4EEE-84DF-18DF895DC4C7}</x:author>
    <x:author>tc={FA5D7C90-324E-416E-B80A-9427631C0845}</x:author>
    <x:author>tc={628D7ECF-E4DD-44BB-A802-D13E558DD4AB}</x:author>
    <x:author>tc={E112AD0E-BE43-416D-805E-FCA664FA1A59}</x:author>
    <x:author>tc={766C70F3-709C-40FA-A73B-50B86C48C168}</x:author>
    <x:author>tc={BBC5F9B5-8EBA-46B8-8904-350CA03C32F9}</x:author>
    <x:author>tc={71728B3D-ECDC-4042-BB9F-477C0F932B47}</x:author>
    <x:author>tc={16ED0F26-2F77-431F-A285-7746E33D2677}</x:author>
    <x:author>tc={7FC7AAA0-5847-450B-9062-9E234F25A890}</x:author>
    <x:author>tc={20A38D6C-9206-49DB-A080-31C54F0ABA8C}</x:author>
    <x:author>tc={7804ED74-37EA-48E6-8754-D8EEA83C4F2D}</x:author>
    <x:author>tc={5EA0274A-200B-4D89-AF85-3A842BD856D1}</x:author>
    <x:author>tc={7A5F1F66-FF67-45B2-900C-B4F7832AEF38}</x:author>
    <x:author>tc={E8B1859E-4089-4FBA-A664-67ED7EC1D52E}</x:author>
    <x:author>tc={EB22A711-CB66-4A16-894C-E6009A19B337}</x:author>
    <x:author>tc={4D3A5B48-548B-493B-92E1-8D6022130F57}</x:author>
    <x:author>tc={2D1F4E94-1B29-4B54-9094-470A934AD9F4}</x:author>
    <x:author>tc={6D9BAB02-02FC-4B87-B2A9-98E586943D92}</x:author>
    <x:author>tc={1855DB51-77A8-4D54-B56F-4F0BBE3FFE3B}</x:author>
    <x:author>tc={6EA78204-1631-4DE4-BD75-347E798A16C2}</x:author>
    <x:author>tc={3DF59EC2-83D7-4A68-9E37-904DC0CAE20B}</x:author>
    <x:author>tc={6B26A476-CAC1-42B9-959D-C64D7BB19AF0}</x:author>
    <x:author>tc={A94D2AFA-2A7E-4047-8396-17289F468E46}</x:author>
    <x:author>tc={300B211E-927E-498F-ADFC-5C8689C24195}</x:author>
    <x:author>tc={7233EDFD-FE37-49A4-A218-FFD2F5E1A152}</x:author>
    <x:author>tc={74F42981-0BE9-4B07-91D9-0FE0D5B856DE}</x:author>
    <x:author>tc={5DE71D64-5E6B-40B6-BE27-BE03C3BA479A}</x:author>
    <x:author>tc={CE49CE8A-F493-44AD-8D54-691756D808FD}</x:author>
    <x:author>tc={B57F7366-E6FD-44F5-A627-158FC1746367}</x:author>
    <x:author>tc={E9FA0C16-2DB8-4C61-A5DA-BEE71EB39D7F}</x:author>
    <x:author>tc={430C3B58-897F-4BB9-92CB-102E21508FEA}</x:author>
    <x:author>tc={F4E0AF4B-DFF5-48D6-8C48-F105EDFD22E3}</x:author>
    <x:author>tc={E17BF269-5ECB-4677-9A50-B7A3F1FB0873}</x:author>
    <x:author>tc={15E587FA-1834-44AA-8AF8-0BCEAE949527}</x:author>
    <x:author>tc={AEB3C349-4E6D-432D-AAB2-070EBB4A0F8E}</x:author>
    <x:author>tc={00923F6E-E503-4C93-8AD7-3F2AC2F68298}</x:author>
    <x:author>tc={9E9244A1-E627-41C6-A3C0-458E8E66AC34}</x:author>
    <x:author>tc={77E58D45-A8E7-472D-A9E0-16BE518671DD}</x:author>
    <x:author>tc={596CEFDE-A054-4CAF-9B10-61242ECC5206}</x:author>
    <x:author>tc={A9768C27-32A9-45C2-B8D2-A0DEBD1643ED}</x:author>
    <x:author>tc={438FE374-6C47-468F-AC3F-B94D4127CE36}</x:author>
    <x:author>tc={0F211FB4-70B1-4215-929B-F5D03436BBFA}</x:author>
    <x:author>tc={C116FBB3-8E58-4EBD-92AE-15300E661292}</x:author>
    <x:author>tc={2B3B0F2D-8E4A-4E70-9158-CC506B5C469D}</x:author>
    <x:author>tc={A198E68A-FC4D-4653-B8C4-9BF7B908DA20}</x:author>
    <x:author>tc={673B4244-0F19-4737-99DE-997B9AEB8C9B}</x:author>
    <x:author>tc={E400427E-6472-4213-9F3A-83FD30DF9159}</x:author>
    <x:author>tc={89B2E482-03BF-4C43-8B56-52CC0640EAE3}</x:author>
    <x:author>tc={463B77C9-A060-4B59-851D-E6610F963BF8}</x:author>
    <x:author>tc={403A503A-4747-4BD7-A020-9C596E8B8DE5}</x:author>
    <x:author>tc={B014BDE7-2723-4588-8025-C9C1A0ABF04F}</x:author>
    <x:author>tc={F6592F90-6658-4072-8F9C-7519A33A941A}</x:author>
    <x:author>tc={90AE0A08-C0FC-4275-80E6-3C6355F14CB6}</x:author>
    <x:author>tc={D5D7A238-DEFA-48CF-B692-581213F477B9}</x:author>
    <x:author>tc={7EE396DB-AA18-437F-AB84-37816B024475}</x:author>
    <x:author>tc={22B3C5C2-077B-45FD-9B4B-6E2CF4A58F9A}</x:author>
    <x:author>tc={4727EC7C-8013-4458-B061-B255CDB1C99B}</x:author>
    <x:author>tc={8CF727BB-EEA4-4D21-8FFE-63A91E2ED284}</x:author>
    <x:author>tc={9EF6F086-885A-4CCB-8C37-4B59F6A31C2E}</x:author>
    <x:author>tc={FCFA64EE-BA71-4041-ABB4-3EC823B76F3D}</x:author>
    <x:author>tc={1DB3A446-D905-4D5C-B19B-E1BE471D2B10}</x:author>
    <x:author>tc={D4B1BD70-FC98-4E23-A4F2-C09FA9F6E0FD}</x:author>
    <x:author>tc={65B32860-4EEC-40E2-9A4D-34919DDDE748}</x:author>
    <x:author>tc={99E34576-EA7D-4429-9C17-301A348EA22C}</x:author>
    <x:author>tc={D09E181C-1E22-43D9-897F-094ACE450D3F}</x:author>
    <x:author>tc={5112FB51-CB65-47F9-908A-25A68909F4F0}</x:author>
    <x:author>tc={699F32A1-0E63-4526-9D82-34CA727F04E7}</x:author>
    <x:author>tc={B45A85D6-1F82-4D3A-ADA3-CF0904C33219}</x:author>
    <x:author>tc={9C96E8CF-A414-4C09-B3F7-8BD2AE6FEE0D}</x:author>
    <x:author>tc={C320C7D8-EBA4-4BFA-A912-1C3D9824C6B0}</x:author>
    <x:author>tc={B8AF64B0-A3C4-4152-8EC4-93E035AB9813}</x:author>
    <x:author>tc={F784732E-10E3-472C-BDC8-974308599076}</x:author>
    <x:author>tc={332136E1-11D2-4F6A-B736-05C34EFE9CE1}</x:author>
    <x:author>tc={2113F266-99D3-41C3-9CDC-95340E305A1B}</x:author>
    <x:author>tc={3C4910F1-165E-4A9E-9331-F2468861B53D}</x:author>
    <x:author>tc={7D7C2754-8D15-4F1E-BB46-E4BA5CB797B3}</x:author>
    <x:author>tc={A9F3D8FE-CC2D-4E86-AA74-5B51D99EDD50}</x:author>
    <x:author>tc={7B8CB9BF-A8D4-4CB0-9192-188F5CF70A12}</x:author>
    <x:author>tc={79BADAA2-D3F4-4F8F-A02C-98F78A5F1713}</x:author>
    <x:author>tc={D0BF1F76-053E-4855-8E61-B3825BCB66B3}</x:author>
    <x:author>tc={15FD8487-C307-41A0-BC7F-EA5360115D1A}</x:author>
    <x:author>tc={B274CA9C-3002-4624-8A01-D486AB3B2632}</x:author>
    <x:author>tc={8356962A-0A23-4298-96BA-3BE01A196B4B}</x:author>
    <x:author>tc={F30AF278-ACFA-4232-B6C9-EBB04F133E3D}</x:author>
    <x:author>tc={2932E5AC-CB65-4220-9823-5C4A056B16A2}</x:author>
    <x:author>tc={FD7649CF-6E50-42B6-AA5A-A4DC2EF99DA5}</x:author>
    <x:author>tc={DF2A5F7B-DA8C-47B7-ADBB-F18E3E234FE4}</x:author>
    <x:author>tc={C0FB36EC-A1FE-440D-BF85-9FB5A106F77B}</x:author>
    <x:author>tc={8B9E5B88-2572-41B0-B0F9-9E141FADC43A}</x:author>
    <x:author>tc={BF35758A-68AA-49AE-B4AA-B201B9FCD2A9}</x:author>
    <x:author>tc={5175F574-1CE7-4D33-8EC4-2C9DE7472CD5}</x:author>
    <x:author>tc={A919260C-4642-406F-B02A-76E3B6F2D783}</x:author>
    <x:author>tc={0A354BEF-BC22-4357-9A78-5D4E3359C599}</x:author>
    <x:author>tc={A4A21E64-796E-4868-8FA3-7686BE72E115}</x:author>
    <x:author>tc={90D6C4DE-79F8-4DF3-8461-6D07F28B4EDD}</x:author>
    <x:author>tc={FBA8F9DE-CAA0-44CA-A4C3-488B273CE874}</x:author>
    <x:author>tc={6C77C7A8-D709-4895-BF9D-66DFBB2D0527}</x:author>
    <x:author>tc={F8E6A2F6-132C-4C15-85D5-E66AD9BCB68F}</x:author>
    <x:author>tc={A683B0E7-3CBB-4505-9171-AFA3B88BC00F}</x:author>
    <x:author>tc={C4D73A74-716C-41DE-A387-58DB08C6CFF1}</x:author>
    <x:author>tc={532B0E73-6902-4105-BF18-32444A841D41}</x:author>
    <x:author>tc={F8495B53-1B6C-4CFA-98C1-001C4C94E539}</x:author>
    <x:author>tc={87DF1351-1157-4747-836D-5D4813A25191}</x:author>
    <x:author>tc={4DCE6478-AC3D-4C88-AA18-F1D82DFF1BA9}</x:author>
    <x:author>tc={605F9EE8-A655-4781-AB43-0058B37D8B3C}</x:author>
    <x:author>tc={B0D01D43-2A75-4692-8CEC-032D11BDD7A9}</x:author>
    <x:author>tc={BA0C1689-9366-4894-BF48-E48DF81F7CE8}</x:author>
    <x:author>tc={570C80DF-C234-4F80-805C-7ECBA43A9453}</x:author>
    <x:author>tc={F5CA37FF-1BF9-474B-B8EC-0FE4ED162A25}</x:author>
    <x:author>tc={3E14325C-19ED-477F-AD24-E9E9F946AD08}</x:author>
    <x:author>tc={1D563E7E-01D9-4E2D-A07B-8CC1A32DFE14}</x:author>
  </x:authors>
  <x:commentList>
    <x:comment ref="M5" authorId="0">
      <x:text>
        <x:r>
          <x:t>[Threaded comment]
Your version of Excel allows you to read this threaded comment; however, any edits to it will get removed if the file is opened in a newer version of Excel. Learn more: https://go.microsoft.com/fwlink/?linkid=870924
Comment:
    After each browser test, record the observable result here. Add the full test evidence as a threaded cell comment and put every character UUID in the Character ID(s) column.</x:t>
        </x:r>
      </x:text>
    </x:comment>
    <x:comment ref="M10" authorId="1">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Light is available and successfully created a persistent object-light effect. Combat: pending. Clarity: PASS — object form and active effect are visible. Character ID(s): 100eb271-ad36-4045-9aea-ef0d01a9e395.</x:t>
        </x:r>
      </x:text>
    </x:comment>
    <x:comment ref="M32" authorId="2">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Forge/sheet: PASS — Goliath was selected, created, and retained in the current ruleset; duplicate Athletics conflict was clearly blocked before creation. Ability use and combat: pending. Clarity: PASS for species selection/conflict. Character ID(s): 84e8c110-bbba-41be-85ef-9165c376d746.</x:t>
        </x:r>
      </x:text>
    </x:comment>
    <x:comment ref="M57" authorId="3">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Forge/sheet: PASS — Stone Giant ancestry selection persisted on the retained character. Stone ancestry action and combat: pending. Clarity: PASS for selected lineage. Character ID(s): 84e8c110-bbba-41be-85ef-9165c376d746.</x:t>
        </x:r>
      </x:text>
    </x:comment>
    <x:comment ref="M34" authorId="4">
      <x:text>
        <x:r>
          <x:t>[Threaded comment]
Your version of Excel allows you to read this threaded comment; however, any edits to it will get removed if the file is opened in a newer version of Excel. Learn more: https://go.microsoft.com/fwlink/?linkid=870924
Comment:
    Production browser evidence, 2026-08-30. Before e7366bae834490394034e3276460df7b02cc9e93, Large Form was wrongly offered and executable on this level-1 character. After e7366bae834490394034e3276460df7b02cc9e93, a reload removes it from the level-1 sheet's Actions and Features; the old combat snapshot remains reproducible but its historical action is aria-disabled with “Доступно с уровня 5”. Authoritative tests also reject a persisted owned level-5 action at level 1. Actual use at level 5 remains pending. Character ID(s): 84e8c110-bbba-41be-85ef-9165c376d746.</x:t>
        </x:r>
      </x:text>
    </x:comment>
    <x:comment ref="M40" authorId="5">
      <x:text>
        <x:r>
          <x:t>[Threaded comment]
Your version of Excel allows you to read this threaded comment; however, any edits to it will get removed if the file is opened in a newer version of Excel. Learn more: https://go.microsoft.com/fwlink/?linkid=870924
Comment:
    Production browser evidence, 2026-08-30. Sheet: PASS — Stone Giant ancestry persisted on the retained character. Combat: PASS — after a 6 slashing hit, the matching Stone Endurance reaction was offered; choosing it rolled d12 1 + CON 2 = 3, reduced damage 6→3, changed HP 12/12→9/12, and spent reaction 1 plus giant_legacy 1. The next turn restored reaction to 1/1, and reload preserved HP, resources, and journal. Clarity: PASS. Character ID(s): 84e8c110-bbba-41be-85ef-9165c376d746.</x:t>
        </x:r>
      </x:text>
    </x:comment>
    <x:comment ref="M42" authorId="6">
      <x:text>
        <x:r>
          <x:t>[Threaded comment]
Your version of Excel allows you to read this threaded comment; however, any edits to it will get removed if the file is opened in a newer version of Excel. Learn more: https://go.microsoft.com/fwlink/?linkid=870924
Comment:
    Production browser evidence, 2026-08-30. The level-1 Goliath had giant_legacy 2/2 after long rest. Stone Endurance spent exactly one charge, leaving 1/2, while also spending the separate reaction. The current/max resource and journal attribution were visible and survived reload. Character ID(s): 84e8c110-bbba-41be-85ef-9165c376d746.</x:t>
        </x:r>
      </x:text>
    </x:comment>
    <x:comment ref="M43" authorId="7">
      <x:text>
        <x:r>
          <x:t>[Threaded comment]
Your version of Excel allows you to read this threaded comment; however, any edits to it will get removed if the file is opened in a newer version of Excel. Learn more: https://go.microsoft.com/fwlink/?linkid=870924
Comment:
    Production evidence, 2026-08-30. The pre-fix level-1 exposure allowed a controlled mechanics probe: on a52c96d54cc641b5fcd594aad2a44f2c5e0629e2, Large Form changed movement 35→45 ft, a 40-ft move was accepted, 5 ft remained, and reload retained the position/effects/ledger. e7366bae834490394034e3276460df7b02cc9e93 then removed/disabled the feature below level 5. Clarity is PARTIAL: the combat journal distinguishes size and speed payloads, but the full-sheet active-effect list shows two identical “Большая форма · 10 ходов” rows. Correct level-5 activation remains pending. Character ID(s): 84e8c110-bbba-41be-85ef-9165c376d746.</x:t>
        </x:r>
      </x:text>
    </x:comment>
    <x:comment ref="M58" authorId="8">
      <x:text>
        <x:r>
          <x:t>[Threaded comment]
Your version of Excel allows you to read this threaded comment; however, any edits to it will get removed if the file is opened in a newer version of Excel. Learn more: https://go.microsoft.com/fwlink/?linkid=870924
Comment:
    Production browser evidence, 2026-08-30. Combat: PASS — Goblin Scimitar dealt a pending 6 slashing damage; Stone Endurance appeared in the reaction window. The retained Goliath rolled d12 1 + CON 2 = 3, reduced damage from 6 to 3, and ended at 9/12 HP. It spent reaction 1 and giant_legacy 1; the next Goliath turn restored reaction to 1/1 but kept the legacy charge spent. Reload preserved the state. Clarity: PASS — trigger, formula, dice, before/after damage, HP, and resources are visible. Character ID(s): 84e8c110-bbba-41be-85ef-9165c376d746.</x:t>
        </x:r>
      </x:text>
    </x:comment>
    <x:comment ref="M62" authorId="9">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retained Dwarf was created through Forge and remained usable on both the full character sheet and a retained combat scene. Chassis values were visible and durable: Medium character, speed 30 ft, darkvision 120 ft, and 15 maximum HP after Fighter level 1, Constitution, Dwarven Toughness, and the Tough origin feat were composed. Reloads preserved the character and combat state. Character ID(s): 467b52d2-3982-4c32-bbfa-f39cce69bcf0; ae8f3549-97a5-4c9d-b1e6-0b169d06d310.</x:t>
        </x:r>
      </x:text>
    </x:comment>
    <x:comment ref="M63" authorId="10">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Darkvision required no activation. The full sheet displayed “Тёмное зрение” as a permanent 120-ft sense, and the actual combat character drawer displayed “Тёмное зрение — 120 фт.” The value survived reload and is clear to the owner/observer. Character ID(s): 467b52d2-3982-4c32-bbfa-f39cce69bcf0; ae8f3549-97a5-4c9d-b1e6-0b169d06d310.</x:t>
        </x:r>
      </x:text>
    </x:comment>
    <x:comment ref="M64" authorId="11">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retained Dwarf exposes Dwarven Resilience on the full sheet, but this batch did not yet execute a poison saving throw or poison damage event. Status is Needs retest until advantage, resistance, the final damage calculation, and observer-facing explanation are exercised in combat. Character ID(s): 467b52d2-3982-4c32-bbfa-f39cce69bcf0; ae8f3549-97a5-4c9d-b1e6-0b169d06d310.</x:t>
        </x:r>
      </x:text>
    </x:comment>
    <x:comment ref="M65" authorId="12">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Dwarven Toughness was selected through the Dwarf chassis and contributed its level-1 maximum-HP increase. The final 15 HP maximum matches Fighter base HP + Constitution + Dwarven Toughness + the retained Tough origin feat. Both the full sheet and combat hotbar showed 12/15 HP, and reload preserved it. Character ID(s): 467b52d2-3982-4c32-bbfa-f39cce69bcf0; ae8f3549-97a5-4c9d-b1e6-0b169d06d310.</x:t>
        </x:r>
      </x:text>
    </x:comment>
    <x:comment ref="M66" authorId="13">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Before repair, combat rejected Stonecunning with “requires explicit stone-surface contact facts”; no resource was spent. The release added the same four explicit choices to sheet and combat: stand on/touch natural or worked stone. Combat selection “Стою на обработанном камне” then spent exactly one bonus action and one Stonecunning use; sheet selection “Стою на природном камне” presented the choice before resource confirmation and spent only after confirmation. Both flows persisted through reload. Character ID(s): 467b52d2-3982-4c32-bbfa-f39cce69bcf0; ae8f3549-97a5-4c9d-b1e6-0b169d06d310.</x:t>
        </x:r>
      </x:text>
    </x:comment>
    <x:comment ref="M67" authorId="14">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Dwarven Resilience effect is present on the retained Dwarf, but its two runtime branches still require direct production evidence: a poison-related saving throw with advantage and a poison damage event reduced by resistance. It remains Needs retest rather than Passed. Character ID(s): 467b52d2-3982-4c32-bbfa-f39cce69bcf0; ae8f3549-97a5-4c9d-b1e6-0b169d06d310.</x:t>
        </x:r>
      </x:text>
    </x:comment>
    <x:comment ref="M68" authorId="15">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Dwarven Toughness max-HP effect is applied to the authoritative character result rather than only displayed as prose. The retained level-1 Dwarf shows a consistent 15 maximum HP on the full sheet and in combat; the value and current 12/15 HP persisted across reloads. Character ID(s): 467b52d2-3982-4c32-bbfa-f39cce69bcf0; ae8f3549-97a5-4c9d-b1e6-0b169d06d310.</x:t>
        </x:r>
      </x:text>
    </x:comment>
    <x:comment ref="M69" authorId="16">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Stonecunning grant_sense effect now executes with explicit canonical stonework facts on both surfaces. Combat logged the bonus-action/use spend and effect application; resource refresh in the scene constructor restored the Dwarf from 4/6 to 6/6 without recreating any actor and wrote an audit entry. Sheet and combat inspection show: “Чувство вибрации: 60 фт. (100 ходов); только по той же каменной поверхности; не обнаруживает существ в воздухе; не даёт видеть.” The effect and explanation survived reload. Character ID(s): 467b52d2-3982-4c32-bbfa-f39cce69bcf0; ae8f3549-97a5-4c9d-b1e6-0b169d06d310.</x:t>
        </x:r>
      </x:text>
    </x:comment>
    <x:comment ref="M70" authorId="17">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330416f6dd3920a84c654bea304d775ebc0019fd. The darkvision grant_sense effect resolves into the effective-senses display on both the full sheet and the actual combat drawer. Both surfaces show a permanent 120-ft range, and the value remains after reload. Character ID(s): 467b52d2-3982-4c32-bbfa-f39cce69bcf0; ae8f3549-97a5-4c9d-b1e6-0b169d06d310.</x:t>
        </x:r>
      </x:text>
    </x:comment>
    <x:comment ref="M6" authorId="1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t>
        </x:r>
      </x:text>
    </x:comment>
    <x:comment ref="M9" authorId="1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t>
        </x:r>
      </x:text>
    </x:comment>
    <x:comment ref="M12" authorId="2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t>
        </x:r>
      </x:text>
    </x:comment>
    <x:comment ref="M15" authorId="2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t>
        </x:r>
      </x:text>
    </x:comment>
    <x:comment ref="M29" authorId="2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t>
        </x:r>
      </x:text>
    </x:comment>
    <x:comment ref="M30" authorId="2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t>
        </x:r>
      </x:text>
    </x:comment>
    <x:comment ref="M31" authorId="2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t>
        </x:r>
      </x:text>
    </x:comment>
    <x:comment ref="M45" authorId="2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t>
        </x:r>
      </x:text>
    </x:comment>
    <x:comment ref="M46" authorId="2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t>
        </x:r>
      </x:text>
    </x:comment>
    <x:comment ref="M47" authorId="2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t>
        </x:r>
      </x:text>
    </x:comment>
    <x:comment ref="M48" authorId="2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t>
        </x:r>
      </x:text>
    </x:comment>
    <x:comment ref="M49" authorId="2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t>
        </x:r>
      </x:text>
    </x:comment>
    <x:comment ref="M50" authorId="3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t>
        </x:r>
      </x:text>
    </x:comment>
    <x:comment ref="M51" authorId="3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t>
        </x:r>
      </x:text>
    </x:comment>
    <x:comment ref="M52" authorId="3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t>
        </x:r>
      </x:text>
    </x:comment>
    <x:comment ref="M53" authorId="3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t>
        </x:r>
      </x:text>
    </x:comment>
    <x:comment ref="M54" authorId="3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t>
        </x:r>
      </x:text>
    </x:comment>
    <x:comment ref="M55" authorId="3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t>
        </x:r>
      </x:text>
    </x:comment>
    <x:comment ref="M56" authorId="3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t>
        </x:r>
      </x:text>
    </x:comment>
    <x:comment ref="M59" authorId="3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t>
        </x:r>
      </x:text>
    </x:comment>
    <x:comment ref="M60" authorId="3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t>
        </x:r>
      </x:text>
    </x:comment>
    <x:comment ref="M61" authorId="3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t>
        </x:r>
      </x:text>
    </x:comment>
    <x:comment ref="M71" authorId="4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2" authorId="4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3" authorId="4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4" authorId="4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6" authorId="4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7" authorId="4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8" authorId="4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79" authorId="4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0" authorId="4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1" authorId="4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2" authorId="5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3" authorId="5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4" authorId="5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5" authorId="5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6" authorId="5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88" authorId="5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t>
        </x:r>
      </x:text>
    </x:comment>
    <x:comment ref="M89" authorId="5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t>
        </x:r>
      </x:text>
    </x:comment>
    <x:comment ref="M90" authorId="5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t>
        </x:r>
      </x:text>
    </x:comment>
    <x:comment ref="M91" authorId="5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t>
        </x:r>
      </x:text>
    </x:comment>
    <x:comment ref="M92" authorId="5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t>
        </x:r>
      </x:text>
    </x:comment>
    <x:comment ref="M93" authorId="6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94" authorId="6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95" authorId="6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96" authorId="6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97" authorId="6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t>
        </x:r>
      </x:text>
    </x:comment>
    <x:comment ref="M98" authorId="6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t>
        </x:r>
      </x:text>
    </x:comment>
    <x:comment ref="M99" authorId="6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t>
        </x:r>
      </x:text>
    </x:comment>
    <x:comment ref="M100" authorId="6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t>
        </x:r>
      </x:text>
    </x:comment>
    <x:comment ref="M101" authorId="6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t>
        </x:r>
      </x:text>
    </x:comment>
    <x:comment ref="M102" authorId="6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t>
        </x:r>
      </x:text>
    </x:comment>
    <x:comment ref="M103" authorId="7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t>
        </x:r>
      </x:text>
    </x:comment>
    <x:comment ref="M104" authorId="7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t>
        </x:r>
      </x:text>
    </x:comment>
    <x:comment ref="M105" authorId="7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t>
        </x:r>
      </x:text>
    </x:comment>
    <x:comment ref="M106" authorId="7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t>
        </x:r>
      </x:text>
    </x:comment>
    <x:comment ref="M107" authorId="7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t>
        </x:r>
      </x:text>
    </x:comment>
    <x:comment ref="M108" authorId="7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t>
        </x:r>
      </x:text>
    </x:comment>
    <x:comment ref="M109" authorId="7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t>
        </x:r>
      </x:text>
    </x:comment>
    <x:comment ref="M110" authorId="7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t>
        </x:r>
      </x:text>
    </x:comment>
    <x:comment ref="M111" authorId="7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t>
        </x:r>
      </x:text>
    </x:comment>
    <x:comment ref="M112" authorId="7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t>
        </x:r>
      </x:text>
    </x:comment>
    <x:comment ref="M113" authorId="8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t>
        </x:r>
      </x:text>
    </x:comment>
    <x:comment ref="M114" authorId="8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t>
        </x:r>
      </x:text>
    </x:comment>
    <x:comment ref="M115" authorId="8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t>
        </x:r>
      </x:text>
    </x:comment>
    <x:comment ref="M116" authorId="8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t>
        </x:r>
      </x:text>
    </x:comment>
    <x:comment ref="M117" authorId="8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t>
        </x:r>
      </x:text>
    </x:comment>
    <x:comment ref="M118" authorId="8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t>
        </x:r>
      </x:text>
    </x:comment>
    <x:comment ref="M119" authorId="8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t>
        </x:r>
      </x:text>
    </x:comment>
    <x:comment ref="M120" authorId="8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t>
        </x:r>
      </x:text>
    </x:comment>
    <x:comment ref="M121" authorId="8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t>
        </x:r>
      </x:text>
    </x:comment>
    <x:comment ref="M122" authorId="8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t>
        </x:r>
      </x:text>
    </x:comment>
    <x:comment ref="M123" authorId="9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t>
        </x:r>
      </x:text>
    </x:comment>
    <x:comment ref="M124" authorId="9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t>
        </x:r>
      </x:text>
    </x:comment>
    <x:comment ref="M125" authorId="9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t>
        </x:r>
      </x:text>
    </x:comment>
    <x:comment ref="M126" authorId="9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t>
        </x:r>
      </x:text>
    </x:comment>
    <x:comment ref="M127" authorId="9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t>
        </x:r>
      </x:text>
    </x:comment>
    <x:comment ref="M128" authorId="9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t>
        </x:r>
      </x:text>
    </x:comment>
    <x:comment ref="M129" authorId="9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t>
        </x:r>
      </x:text>
    </x:comment>
    <x:comment ref="M130" authorId="9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t>
        </x:r>
      </x:text>
    </x:comment>
    <x:comment ref="M131" authorId="9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t>
        </x:r>
      </x:text>
    </x:comment>
    <x:comment ref="M132" authorId="9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t>
        </x:r>
      </x:text>
    </x:comment>
    <x:comment ref="M133" authorId="10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t>
        </x:r>
      </x:text>
    </x:comment>
    <x:comment ref="M134" authorId="10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t>
        </x:r>
      </x:text>
    </x:comment>
    <x:comment ref="M135" authorId="10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t>
        </x:r>
      </x:text>
    </x:comment>
    <x:comment ref="M136" authorId="10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t>
        </x:r>
      </x:text>
    </x:comment>
    <x:comment ref="M137" authorId="10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t>
        </x:r>
      </x:text>
    </x:comment>
    <x:comment ref="M138" authorId="10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39" authorId="10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0" authorId="10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1" authorId="10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2" authorId="10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3" authorId="11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4" authorId="11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t>
        </x:r>
      </x:text>
    </x:comment>
    <x:comment ref="M145" authorId="11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46" authorId="11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47" authorId="11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48" authorId="11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49" authorId="11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50" authorId="11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51" authorId="11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52" authorId="11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53" authorId="12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t>
        </x:r>
      </x:text>
    </x:comment>
    <x:comment ref="M154" authorId="12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55" authorId="12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56" authorId="12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57" authorId="12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58" authorId="12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59" authorId="12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60" authorId="12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61" authorId="12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62" authorId="12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63" authorId="13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t>
        </x:r>
      </x:text>
    </x:comment>
    <x:comment ref="M164" authorId="13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t>
        </x:r>
      </x:text>
    </x:comment>
    <x:comment ref="M165" authorId="13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t>
        </x:r>
      </x:text>
    </x:comment>
    <x:comment ref="M168" authorId="13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t>
        </x:r>
      </x:text>
    </x:comment>
    <x:comment ref="M169" authorId="13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t>
        </x:r>
      </x:text>
    </x:comment>
    <x:comment ref="M170" authorId="13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t>
        </x:r>
      </x:text>
    </x:comment>
    <x:comment ref="M173" authorId="13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t>
        </x:r>
      </x:text>
    </x:comment>
    <x:comment ref="M174" authorId="13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t>
        </x:r>
      </x:text>
    </x:comment>
    <x:comment ref="M175" authorId="13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t>
        </x:r>
      </x:text>
    </x:comment>
    <x:comment ref="M178" authorId="13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t>
        </x:r>
      </x:text>
    </x:comment>
    <x:comment ref="M179" authorId="14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0" authorId="14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1" authorId="14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2" authorId="14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3" authorId="14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4" authorId="14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5" authorId="14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t>
        </x:r>
      </x:text>
    </x:comment>
    <x:comment ref="M186" authorId="14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87" authorId="14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88" authorId="14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89" authorId="15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0" authorId="15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1" authorId="15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2" authorId="15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3" authorId="15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4" authorId="15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5" authorId="15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6" authorId="157">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t>
        </x:r>
      </x:text>
    </x:comment>
    <x:comment ref="M197" authorId="158">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t>
        </x:r>
      </x:text>
    </x:comment>
    <x:comment ref="M198" authorId="159">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t>
        </x:r>
      </x:text>
    </x:comment>
    <x:comment ref="M201" authorId="160">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t>
        </x:r>
      </x:text>
    </x:comment>
    <x:comment ref="M202" authorId="161">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t>
        </x:r>
      </x:text>
    </x:comment>
    <x:comment ref="M203" authorId="162">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t>
        </x:r>
      </x:text>
    </x:comment>
    <x:comment ref="M206" authorId="163">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t>
        </x:r>
      </x:text>
    </x:comment>
    <x:comment ref="M207" authorId="164">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t>
        </x:r>
      </x:text>
    </x:comment>
    <x:comment ref="M208" authorId="165">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t>
        </x:r>
      </x:text>
    </x:comment>
    <x:comment ref="M211" authorId="166">
      <x:text>
        <x:r>
          <x:t>[Threaded comment]
Your version of Excel allows you to read this threaded comment; however, any edits to it will get removed if the file is opened in a newer version of Excel. Learn more: https://go.microsoft.com/fwlink/?linkid=870924
Comment:
    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t>
        </x:r>
      </x:text>
    </x:comment>
  </x:commentList>
</x:comments>
</file>

<file path=xl/comments3.xml><?xml version="1.0" encoding="utf-8"?>
<x:comments xmlns:x="http://schemas.openxmlformats.org/spreadsheetml/2006/main">
  <x:authors>
    <x:author>tc={8CA46E90-DABA-49AE-831C-9D7E4B5BBEE0}</x:author>
    <x:author>tc={AE3517B0-159E-4FA6-B758-733C03627692}</x:author>
    <x:author>tc={13B141A0-9347-4641-9A21-4BFD95DAD4A4}</x:author>
    <x:author>tc={B88D9FFF-6AB7-4A96-B7C7-316D7CD9776A}</x:author>
    <x:author>tc={401A9CCA-C967-44E7-8ED4-870BAA89A753}</x:author>
    <x:author>tc={F126E206-2A32-4A79-89E3-CAA7DBE30A69}</x:author>
    <x:author>tc={6E52E469-7F13-4D09-BEEA-253E86F6464F}</x:author>
    <x:author>tc={BE113F93-0204-4E06-8806-CCDF074BEA0D}</x:author>
    <x:author>tc={0F35538C-74A3-47D8-A43F-F0EEF161A740}</x:author>
    <x:author>tc={E855D2AC-2960-4010-B8C7-C8F8D126645F}</x:author>
    <x:author>tc={E0470CCB-3A76-4B8A-AAD9-A67D00E853C9}</x:author>
    <x:author>tc={17988212-180A-4F5D-B1F6-E1BFE53E9197}</x:author>
    <x:author>tc={03409A12-C81D-4414-B915-8AE8F9B43E8A}</x:author>
    <x:author>tc={86266772-3BBB-4FA6-ACD2-A20BA1661665}</x:author>
    <x:author>tc={2C6F773E-5675-41F6-9D83-9E558E53DFDE}</x:author>
    <x:author>tc={860A20A9-770E-430B-816F-38BC0D162CFA}</x:author>
    <x:author>tc={931CC71F-40E0-469E-BA27-15E158521EBD}</x:author>
    <x:author>tc={AF5B1ED4-7820-41AD-B0A5-F4575665C70F}</x:author>
    <x:author>tc={1910C5A7-D551-43F4-AB9E-DE5342CBA108}</x:author>
    <x:author>tc={8FF7938D-F405-4335-8F00-DBED98987F63}</x:author>
    <x:author>tc={FA9186B9-FAA0-426B-B0ED-11543D0C9D2D}</x:author>
    <x:author>tc={042B915E-3D72-4B11-8B8D-84CCDCB4BD53}</x:author>
    <x:author>tc={414685CE-4CF2-4BD7-AFA0-6D9AFDFE34D5}</x:author>
    <x:author>tc={CEEB1F88-3336-4737-A886-975315360147}</x:author>
    <x:author>tc={26D45C2B-0B9B-4B79-80BC-BD9EE0596F69}</x:author>
    <x:author>tc={632EAA3D-21FA-463F-9D0C-E6BFA3F7DFF8}</x:author>
    <x:author>tc={04B62C39-C8D1-42CA-8C7D-7102C0D08F03}</x:author>
    <x:author>tc={AE3647FD-5770-4F5D-8D19-52F397DE55A0}</x:author>
    <x:author>tc={DD124D94-61A6-4E92-A619-35C2C84E4888}</x:author>
    <x:author>tc={3623F33A-5F97-4387-92B6-5D5A23DCB906}</x:author>
    <x:author>tc={D97FF819-7CC1-4D28-AAAA-DF372E57272B}</x:author>
    <x:author>tc={CF085FAA-8E05-4C1B-B98A-F1F309A48B26}</x:author>
    <x:author>tc={A0330E44-642F-4280-8105-EA3F04F31EE6}</x:author>
    <x:author>tc={605CB59A-3058-428E-8752-B6F960AAB491}</x:author>
    <x:author>tc={710507F2-FA56-4478-BAD0-6CABA822DFF4}</x:author>
    <x:author>tc={451DB5DF-74E5-4CE7-BE90-8E78041098A1}</x:author>
    <x:author>tc={06F7144A-D0A9-48A0-AAF5-D2D8E20BBD9D}</x:author>
    <x:author>tc={CA519C54-8893-4EDB-AB55-DBFAA31D13C7}</x:author>
    <x:author>tc={28F9847B-5594-4FAC-9168-F6B3618606D4}</x:author>
    <x:author>tc={F41D1BE1-66B2-4543-8E7E-3C0638324C05}</x:author>
    <x:author>tc={6CA994F4-06E7-4EFF-B8D7-18E5736A5D49}</x:author>
    <x:author>tc={45B91123-6293-45A9-9EFF-DF36B67A81B1}</x:author>
    <x:author>tc={1AE07DFF-4F31-4CFE-AEC2-8A814FD26D52}</x:author>
    <x:author>tc={44C3358E-67ED-4E15-A15F-215FE0B7C40A}</x:author>
    <x:author>tc={DB17355C-5E98-4AF2-B729-E325225C6165}</x:author>
    <x:author>tc={61371A94-0A06-4525-A7EF-FBECAB28AB92}</x:author>
    <x:author>tc={AFD686FE-FBD5-4740-9812-C7E4D2C225FC}</x:author>
    <x:author>tc={5BC21C43-3992-4545-B643-59FDFD0AD338}</x:author>
    <x:author>tc={D184FA69-7ACD-4F92-8B24-CF251C7A80FA}</x:author>
    <x:author>tc={3F219531-1254-44BE-A655-F36801A7966C}</x:author>
    <x:author>tc={93A3BD18-C2D5-431D-9431-9B1916F450FF}</x:author>
    <x:author>tc={B1E869F5-D7E4-442F-A3E7-52F7A28A92C0}</x:author>
    <x:author>tc={90027AF7-31EC-442E-A625-1F6FF3033D41}</x:author>
    <x:author>tc={E9B09DCC-DBF8-4E88-AB07-51CB7BA97933}</x:author>
    <x:author>tc={3ABEFDEE-6096-43AD-B329-1F88C5CC9160}</x:author>
    <x:author>tc={0A174EE0-0C3E-426A-8210-5B8CCB70E935}</x:author>
    <x:author>tc={86F790ED-B896-4D8C-A8C6-4E700A1415C8}</x:author>
    <x:author>tc={7F14A86A-1FE0-4C8C-B303-DC28BD242ECF}</x:author>
    <x:author>tc={DABF92FB-A2B5-41DA-AB3F-FCD60A350959}</x:author>
    <x:author>tc={742A2986-9CD1-4CE1-9F57-6F68D8CE73E4}</x:author>
    <x:author>tc={DFD7E331-21A8-42C6-B5D0-CCF7C67A9394}</x:author>
    <x:author>tc={53098F77-C4CF-44DF-98BD-B7ADED37C1BD}</x:author>
    <x:author>tc={F2E869C0-A82F-46DA-99CD-92C7868F3674}</x:author>
    <x:author>tc={6CD651AE-8A6F-4398-A7C5-D9594D64352A}</x:author>
    <x:author>tc={9A57B4FC-1DD0-47FA-9317-B4A60FAAFC35}</x:author>
    <x:author>tc={9B770183-F695-437D-BAEF-ECAC086CEF1D}</x:author>
    <x:author>tc={07B1E541-0BF1-4C7F-8837-EEA4BBA1F2FE}</x:author>
    <x:author>tc={5C8D5D4F-C3C3-43B8-9299-C03BBBC03EA7}</x:author>
    <x:author>tc={75559EAE-4C65-451C-9888-A60C0BC84544}</x:author>
    <x:author>tc={5C140877-CDCB-4ED9-9A4B-50F8E32AF30E}</x:author>
    <x:author>tc={791E5864-5AF7-414B-97FD-A66BF6CFBE7F}</x:author>
    <x:author>tc={F1D14315-9929-48A1-9963-C4E0A11DDF11}</x:author>
    <x:author>tc={706520B8-9C2C-4CF6-9359-F3F09712B0D4}</x:author>
    <x:author>tc={1B5D850B-2BCE-40B9-B3C1-6E770462D46E}</x:author>
    <x:author>tc={9738E611-BE17-4BDE-BD17-5F6633358155}</x:author>
    <x:author>tc={5DE2A893-F8F3-471B-A555-4EDCE9F976CB}</x:author>
    <x:author>tc={785A002C-5614-469F-B90A-8324E26E1CEF}</x:author>
    <x:author>tc={83F00D31-3871-48D3-9FF7-25B4D08C35CB}</x:author>
    <x:author>tc={ABA4756F-C0CC-4A44-9A67-0492C940A709}</x:author>
    <x:author>tc={72B7571C-6FF9-4639-94A4-F01049E618F5}</x:author>
    <x:author>tc={CCC473E4-44BA-47D2-871B-1E5C3A65856D}</x:author>
    <x:author>tc={19DBF096-558F-4C96-BE80-D8DD9A90EFAE}</x:author>
    <x:author>tc={7968363A-F920-4FA9-B2CD-35EEE28516F6}</x:author>
    <x:author>tc={02CDCD35-1456-4A5F-B8FA-AF13FB57C2BA}</x:author>
    <x:author>tc={FBD066B5-F951-435C-95D2-32CDBE1F973D}</x:author>
    <x:author>tc={735796F6-6583-4E05-A9EC-ECA6136A7A0B}</x:author>
    <x:author>tc={04D5F60A-1988-40CB-8947-F05D9C209677}</x:author>
    <x:author>tc={12500246-FD1C-42B7-B061-D44F6ED8BD7D}</x:author>
    <x:author>tc={9ED31267-DDE1-463C-A733-AFE2B9177113}</x:author>
    <x:author>tc={E3E5C329-0109-478F-BE6F-100C62A35C06}</x:author>
    <x:author>tc={26FDDB56-9FE4-4D19-8DAF-840A8FB3B00E}</x:author>
    <x:author>tc={C476A1A4-F4A8-4D53-8B87-42E4EFA6CE43}</x:author>
    <x:author>tc={E288F633-70B8-4757-BC7A-740104D886A4}</x:author>
    <x:author>tc={1DF1951B-1F3F-4FFE-BA3C-DEAC856785DC}</x:author>
    <x:author>tc={D9E3C823-B091-45DD-8EAF-37FB2DFE8E5D}</x:author>
    <x:author>tc={1AA2A51D-A3FA-4974-A2DF-9FAF4BD963F7}</x:author>
    <x:author>tc={53EAAFB2-3A41-48A8-BF99-C3BDD0C214CC}</x:author>
    <x:author>tc={3E7CCD70-075C-4098-B3DA-5CC935B525CC}</x:author>
    <x:author>tc={95A94849-1AB5-49B5-AB43-5D0B02D89669}</x:author>
    <x:author>tc={E923F7AE-676C-4472-941E-55B94A949CD3}</x:author>
  </x:authors>
  <x:commentList>
    <x:comment ref="L5" authorId="0">
      <x:text>
        <x:r>
          <x:t>[Threaded comment]
Your version of Excel allows you to read this threaded comment; however, any edits to it will get removed if the file is opened in a newer version of Excel. Learn more: https://go.microsoft.com/fwlink/?linkid=870924
Comment:
    After each browser test, record the observable result here. Add the full test evidence as a threaded cell comment and put every character UUID in the Character ID(s) column.</x:t>
        </x:r>
      </x:text>
    </x:comment>
    <x:comment ref="L7" authorId="1">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Mage Hand activated, consumed only the action, created a visible active effect, and produced a clear journal entry. Combat: pending. Clarity: PASS for summon state; physical world interaction remains manually adjudicated. Character ID(s): 100eb271-ad36-4045-9aea-ef0d01a9e395.</x:t>
        </x:r>
      </x:text>
    </x:comment>
    <x:comment ref="L16" authorId="2">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activation PASS. Combat: pending. Clarity: FAIL — submitted form/description “QA: звук далёкого колокола” disappeared from the resulting journal/effect, so other participants cannot tell what illusion exists. Character ID(s): 100eb271-ad36-4045-9aea-ef0d01a9e395.</x:t>
        </x:r>
      </x:text>
    </x:comment>
    <x:comment ref="L26" authorId="3">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Light activated as an object form, consumed only the action, and left a visible active effect/journal result. Combat: pending. Clarity: PASS. Character ID(s): 100eb271-ad36-4045-9aea-ef0d01a9e395.</x:t>
        </x:r>
      </x:text>
    </x:comment>
    <x:comment ref="L63" authorId="4">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on self — 13 healing was rolled, action and one level-1 slot were consumed; HP correctly remained capped at maximum. Compatible-target and combat use: pending. Legacy-target attempt is safely blocked with actionable Russian ruleset guidance. Clarity: PASS for self result. Character ID(s): 100eb271-ad36-4045-9aea-ef0d01a9e395; 84e8c110-bbba-41be-85ef-9165c376d746.</x:t>
        </x:r>
      </x:text>
    </x:comment>
    <x:comment ref="L46" authorId="5">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Thunderwave displayed the full sheet-equivalent hover card, spent one action and one level-1 slot, forced a CON save 9 vs DC 12, dealt 6 thunder damage, pushed the Goblin 10 ft, and left it at 4/10 HP. Reload preserved the journal, HP, position, active turn, and remaining slot. Clarity: PASS — save die/modifier/DC, damage dice/total/type, push distance, and resource spend are explicit. Sheet activation: pending. Character ID(s): 100eb271-ad36-4045-9aea-ef0d01a9e395.</x:t>
        </x:r>
      </x:text>
    </x:comment>
    <x:comment ref="L39" authorId="6">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Poison Spray opened the expected attack/damage dice flow (1к20 and 1к12), spent exactly one action, hit AC 11 with 24, rolled a critical 14 poison damage, and applied the Dwarf's resistance as 14 → 7. The saved journal explicitly shows “сопротивление (яд): 14 → 7”; the cross-character result persisted. An earlier retained combat run also exercised the same poison-resistance branch. All three dimensions pass. Character ID(s): f8e7549a-fe5c-4347-9d90-a7e27bfe94b9; 8c450667-7ce4-4c81-a982-f7356cb8f7ab.</x:t>
        </x:r>
      </x:text>
    </x:comment>
    <x:comment ref="L64" authorId="7">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In a retained Drow-versus-Goblin scene, Ray of Sickness spent one action and the final level-1 slot, hit AC 15 with 16, dealt 8 poison damage (Goblin 10 → 2), applied Poisoned, and persisted. The journal clearly records both spend rows, damage, and “Состояние: Отравленный → Гоблин-воин”. Source-turn lifecycle was separately verified on the retained Dwarf: the first source turn armed and preserved the effect; the next source-turn end expired it. Production result clarity remains partial because the Goblin inspector displays raw “poisoned” without mechanics/source/duration. A local fix now renders “Отравлен”, the two disadvantage rules, “Источник: Луч болезни”, and the exact source-turn duration; deployment/browser retest is pending because release storage is full. Character ID(s): f8e7549a-fe5c-4347-9d90-a7e27bfe94b9; 8c450667-7ce4-4c81-a982-f7356cb8f7ab.</x:t>
        </x:r>
      </x:text>
    </x:comment>
    <x:comment ref="L21" authorId="8">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In the retained Drow-vs-Goblin scene, selecting “Пляшущие огоньки” displayed the full sheet-equivalent hover card with description, classes, 120-ft range, concentration, components, and action cost. Clicking cell 6,6 failed before any state/resource mutation with “InvalidFacts: Dancing Lights requires a canonical placement snapshot”; action remained 1/1 and the saved scene stayed intact. Root cause: the rules core already required and supported canonical creation/movement facts, while the dedicated combat adapter forwarded no clicked board position and rendered no spell object. Commit 48f87b5 now derives distance and board revision from the clicked cell, creates/persists the canonical object, renders a labeled 10-ft dim-light token plus concentration/round status, and exposes the existing 60-ft bonus-action movement command. Focused behavior passed 1/1, the full combat integration file passed 18/18, lint and TypeScript passed, and the production bundle compiled successfully. Status remains Needs retest until Timecloud deployment, production cast/move/reload confirmation, and character-sheet use. Character ID(s): f8e7549a-fe5c-4347-9d90-a7e27bfe94b9.</x:t>
        </x:r>
      </x:text>
    </x:comment>
    <x:comment ref="L56" authorId="9">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In the retained Drow-vs-Goblin scene, selecting “Доспехи мага” displayed the shared hover card with willing/unarmored target rule, 13 + Dexterity AC, armor-ending rule, Sorcerer/Wizard classes, touch, eight-hour duration, components, action, and level-1 slot. Clicking the Drow's own controlled token then failed before mutation with “TargetNotWilling: f8e7549a-fe5c-4347-9d90-a7e27bfe94b9 has not explicitly consented to db6433bf-f779-4b65-8766-0feffefd1930@CLASS-wizard”. Action remained 1/1, slots remained 2/2, and the saved scene stayed intact. Commit ee91720 records willingness only when the actor targets themself or the same player controls both source and target; other targets remain fail-closed. It also translates TargetNotWilling and TargetArmored without leaking actor/action IDs. Focused checks passed 2/2; the full combat/error files passed 24/24; lint and TypeScript passed. Local vertical evidence spends one action plus one slot and creates the exact 4,800-round Mage Armor effect. Status remains Needs retest until Timecloud deployment, production effect/AC/expiry/observer clarity, and character-sheet use. Character ID(s): f8e7549a-fe5c-4347-9d90-a7e27bfe94b9.</x:t>
        </x:r>
      </x:text>
    </x:comment>
    <x:comment ref="L100" authorId="10">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scene: Drow f8e7549a-fe5c-4347-9d90-a7e27bfe94b9 vs Goblin Warrior (2/10 HP), not deleted or finished. Combat: selecting “Усыпление I” showed the shared hover card with WIS DC 12, 5-foot sphere/60-foot range, Unconscious result, repeat-save and damage/shake wake-up rules, elf/exhaustion-immunity auto-success, classes, concentration, components, action, and slot. The Goblin rolled 12 - 1 WIS = 11 vs DC 12, failed, became Unconscious, and the source spent exactly action plus spell_slot_1. The combat journal is explicit, but the deployed target inspector only shows raw “poisoned” and “unconscious” labels. Pushed commit 38c2825 localizes active conditions and adds source, duration, and mechanical instructions; deployment and Sleep-specific observer clarity remain to be retested. Character sheet: the target/facts dialog and shared dice dialog both opened correctly; selecting the training target and entering d20=1 then aborted with “The compatible character sheet cannot resume canonical pending resolution target_save”. Action and slots remained unchanged, proving atomic failure. Pushed commit df0a5cc resumes only target-save continuations with the already collected dice while all other unsupported continuations remain fail-closed. Verification: focused test 7/7; related orchestrator/UI tests 56/56; full lint passed; TypeScript passed. Status remains Needs retest until Timecloud deployment and production verification of sheet persistence/journal, combat inspector clarity, repeat save, damage/shake wake-up, and elf immunity. Character ID(s): f8e7549a-fe5c-4347-9d90-a7e27bfe94b9.</x:t>
        </x:r>
      </x:text>
    </x:comment>
    <x:comment ref="L15" authorId="11">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Dragonborn Wizard 89f8fefe-acf2-45bc-86e1-960d8cb49188; scene was not deleted or finished. Combat hover card matched the full sheet: ranged spell attack +5, 1d8 cold, 60-foot range, action, no slot, and speed -10 feet until the start of the caster's next turn. Against the Goblin, the system rolled 10 + 3 spellcasting + 2 proficiency = 15 vs AC 15, hit, dealt 1 cold, spent exactly one action, and applied “Ray of Frost · speed”. Target inspection clearly showed effective Speed 20 ft, base 30, state “Ray of Frost”, and “Speed: -10 ft.” Reload preserved HP 9/10, the journal, effective speed, and the inspector state. Ending the Wizard turn let the Goblin act, advanced to the Wizard's next turn, expired the effect at the correct boundary, restored the Goblin to Speed 30, and removed the state from inspection. Character sheet then used manual d20=5 and d8=1: 5 + 3 spellcasting + 2 proficiency = 10 vs AC 10, hit for 1 cold, applied the speed effect, spent exactly one action, and spent no slot. Journal and result summary named attack, AC, damage, resource, and effect. All three dimensions pass. Character ID(s): 89f8fefe-acf2-45bc-86e1-960d8cb49188.</x:t>
        </x:r>
      </x:text>
    </x:comment>
    <x:comment ref="L20" authorId="12">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Dragonborn Wizard 89f8fefe-acf2-45bc-86e1-960d8cb49188; character and scene were not deleted or finished. Combat card showed +5 ranged spell attack, 1d10 fire, 120-foot range, action/no slot, and the object-ignition rule. System d20=15 +3 spellcasting +2 proficiency = 20 vs AC 15 hit the retained Goblin for d10=6 fire, spent exactly one action, spent no slot, reduced the Goblin from 9/10 to 3/10 HP, and wrote a clear attack/AC/die/damage/resource journal. After constructor resource refresh, the full sheet selected its training target and used manual d20=10 and d10=4: total 15 vs AC 10 hit for 4 fire, spent exactly one action, spent no slot, and showed a clear result and journal. The shared card has a presentation contradiction: base damage and executable mechanics correctly use d10, but the scaling paragraph says 1d6/2d6/3d6/4d6. Commit 9ca35ff, migration 124, changes the exact known live text to 1d10/2d10/3d10/4d10, requires the stable spell identity and already-correct d10 mechanics, fails closed on drift, and revokes the stale certificate pending production retest. The unattended-object ignition branch cannot yet be selected because the deployed scene has no compatible object interaction. Character ID(s): 89f8fefe-acf2-45bc-86e1-960d8cb49188.</x:t>
        </x:r>
      </x:text>
    </x:comment>
    <x:comment ref="L47" authorId="13">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Fresh retained Human Wizard 356f2df5-2593-4b3d-a249-ebe72cbc42a5, created through Forge and not deleted or placed in combat. The sheet selected the training dummy at 60 feet and explicitly allocated all three darts. The automatic rolls were d4=4, d4=4, and d4=1, producing 5, 5, and 2 force damage (12 total). Exactly one action and one 1st-level slot were spent: action 1/1→0/1 and slot 2/2→1/2. The immediate result showed the three damage packets and resource costs. The persistent journal failed clarity: each d4 damage roll was displayed as “d20”, and there was no durable spell-name or target entry, so later readers could not identify the action. Commit b25ff8e makes roll breakdowns use each die's actual side count, handles mixed dice safely, and prepends a durable “Magic Missile → target” narrative row for ordinary sheet actions. Verification: 9 focused tests, targeted lint, full TypeScript, and a clean production build passed. Combat remains pending because the deployed scene constructor cannot yet add a safe target and casting at the retained 3-HP Goblin would end the preserved encounter. Character ID(s): 356f2df5-2593-4b3d-a249-ebe72cbc42a5.</x:t>
        </x:r>
      </x:text>
    </x:comment>
    <x:comment ref="L35" authorId="14">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Human Wizard 356f2df5-2593-4b3d-a249-ebe72cbc42a5. From the character sheet, Prestidigitation used the sensory-effect mode with description “Запах корицы в воздухе”, explicit distance 10 feet, and scene facts. It spent exactly one action (1→0), did not spend the free-use resource, and required no spell slot. The immediate journal first said the named effect was created, then exposed the internal ID “sheet:1badba49:1:id:1” while removing the instantaneous object, so a reader could not understand the result. Commit c46b4ed correlates create/remove mutations from the same command and records “Фокусы: мгновенный эффект «Запах корицы в воздухе» завершён” without raw IDs. Exact production-primitive regression, focused tests, lint, TypeScript, and production build passed. Combat remains untested. Character ID(s): 356f2df5-2593-4b3d-a249-ebe72cbc42a5.</x:t>
        </x:r>
      </x:text>
    </x:comment>
    <x:comment ref="L87" authorId="15">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Bard 100eb271-ad36-4045-9aea-ef0d01a9e395 cast Command I → “Падай” at a Wolf in the retained Human Wizard 356f2df5-2593-4b3d-a249-ebe72cbc42a5 scene. The Wolf rolled Wisdom 1+1=2 against DC 12 and failed. Exactly one action and one level-1 slot were spent. The target inspector and journal displayed only “действие”, with no command word, instructions, or duration. After ending the Bard turn, the live Wolf Start Turn logged only “Начало хода”: the command was not consumed, Prone was not applied, and the turn was not restricted. Commit c46b4ed persists “Приказ: Падай”, shows the next-turn instruction/duration, invokes the command resolver from the real Start Turn handler, applies “Сбит с ног”, and denies movement/action/bonus action until the commanded turn is ended. Focused engine and rules-session tests, lint, TypeScript, and production build passed. Production retest awaits Timecloud deployment. Character ID(s): 100eb271-ad36-4045-9aea-ef0d01a9e395; 356f2df5-2593-4b3d-a249-ebe72cbc42a5.</x:t>
        </x:r>
      </x:text>
    </x:comment>
    <x:comment ref="L96" authorId="16">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Human Wizard 356f2df5-2593-4b3d-a249-ebe72cbc42a5. Grease selected the training dummy as an enemy at 5 feet with explicit scene, line-of-sight, and cover facts. The target save dialog rolled 12 against DC 13. The deployed sheet then raised the hidden engine message “The compatible character sheet cannot resume canonical pending resolution target_save” and did not commit the action: action, slot, and free-use resources all stayed unchanged and no effect/journal entry was created. The production release predates the already-pushed target-save resume implementation; commit c46b4ed additionally translates this fallback into a clear Russian message explaining that resources were not spent. Production sheet and combat retest are required after Timecloud deployment. Character ID(s): 356f2df5-2593-4b3d-a249-ebe72cbc42a5.</x:t>
        </x:r>
      </x:text>
    </x:comment>
    <x:comment ref="L102" authorId="17">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Black Dragonborn Wizard “Тархун” 8060b4e5-fbd6-4c18-b371-32d52e12fdf1. Sheet/presentation: FAIL on the deployed release — the character owns Shield and combat offers it, but the full sheet omits it from both Actions and Spells, so the player cannot inspect the known spell there. Combat proactive boundary: FAIL but atomic — the ordinary hotbar showed Shield as enabled; clicking it returned raw “InvalidActionTiming” with entity/grant identifiers, while reaction 1/1 and slots 2/2 remained unchanged. Combat trigger: PASS — after Dodge, a Goblin Minion rolled 11 (discarded 13) +2 = 13 against AC 11; the reaction window paused before damage and offered Shield. Accepting Shield spent exactly one reaction and one level-1 slot, raised AC to 16, converted the triggering 13 into a miss, preserved HP 7/9 for that attack, journaled the effect, and removed it at the start of the Wizard's next turn. A second Goblin then hit AC 16 for 4, leaving the retained active scene at HP 3/9, slot 1/2, reaction restored 1/1. Clarity: the hover card explains +5 AC, duration, trigger, components, self target, and Magic Missile immunity; the reaction title “По вам попали” is clear, but its deployed button leaked “spell_slot_1”. Commit bf04305 disables proactive reaction activation with a player-facing reason, translates the fallback timing error, labels payment “Ячейка 1-го круга”, and shows the known reaction spell as a disabled inspectable card in the sheet's Spells section. Focused tests passed 23/23, lint and final TypeScript passed; an earlier production build in the same source batch compiled 4,624 modules. Status remains Needs retest until the Timecloud deployment is possible and the fixed UI plus the separate Magic Missile trigger are verified. Character ID(s): 8060b4e5-fbd6-4c18-b371-32d52e12fdf1.</x:t>
        </x:r>
      </x:text>
    </x:comment>
    <x:comment ref="L72" authorId="18">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Black Dragonborn Wizard “Тархун” 8060b4e5-fbd6-4c18-b371-32d52e12fdf1. Combat hover/detail clarity: PASS — the card explains the 30-foot sense, the later Magic action, aura/school disclosure, material blockers, self target, concentration up to ten minutes, ritual tag, components, action, and level-1 slot. Combat cast/resources: PASS — casting consumed action 1/1→0/1 and the final level-1 slot 1/2→0/2, preserved HP 3/9 and the active turn, and left the retained two-Goblin scene unfinished. Deployed result clarity: FAIL — the journal only said “Обнаружение магии: см. описание заклинания”; the combat drawer said there were no active states/effects; no concentration indicator, passive presence result, or “Магия” follow-up action appeared. The engine already owned the validated RevealMagicAura command, but dedicated combat had no adapter/UI caller. Commit 441d6b9 projects the active concentration, reports whether board-positioned magical objects are sensed within the canonical 30 feet, exposes “Проявить ауры · действие” only while the exact concentration is active, derives object facts from tactical positions/carriers, dispatches the canonical command, spends the action, and journals readable object/aura/school results or an explicit “магических аур не обнаружено”. Focused adapter plus core checks passed 2/2; targeted lint, full TypeScript, and a 4,624-module Vite/PWA/DiceBox production bundle passed. Character-sheet activation and deployed combat follow-up remain pending, so status is Needs retest. Character ID(s): 8060b4e5-fbd6-4c18-b371-32d52e12fdf1.</x:t>
        </x:r>
      </x:text>
    </x:comment>
    <x:comment ref="L14" authorId="19">
      <x:text>
        <x:r>
          <x:t>[Threaded comment]
Your version of Excel allows you to read this threaded comment; however, any edits to it will get removed if the file is opened in a newer version of Excel. Learn more: https://go.microsoft.com/fwlink/?linkid=870924
Comment:
    Production browser evidence, 2026-08-31. Release afa3f6c30a96e29603a64d34ba09287610577b78. Retained Black Dragonborn Wizard “Тархун” 8060b4e5-fbd6-4c18-b371-32d52e12fdf1. Combat detail clarity: PASS — the card showed cantrip/necromancy, melee spell attack +5, 1d10 necrotic damage, healing prevention through the end of the caster's next turn, level scaling, touch, V/S, instantaneous casting, and action cost. Combat mechanics: PASS for declaration/attack/damage/effect — the adjacent Goblin Minion was selected at 5 feet; the spell spent action 1/1→0/1 and no slot; attack d20 12 +3 spellcasting +2 proficiency = 17 beat AC 12; damage d10 rolled 1 necrotic; HP changed 7/7→6/7; and the target received one named Chill Touch effect. Result clarity: FAIL on the deployed inspector — target inspection displayed only “Леденящее прикосновение”, with no anti-healing rule or duration. Current source already adds generic effect source/duration rows after this older production release. Commit 90dfbcc adds the remaining data-shape instruction for any modifier whose operation denies healing: “Не может восстанавливать Хиты.” It does not branch on the spell name. Focused verification passed 4/4 and covers the actual healing denial, source-turn arm/expiry lifecycle, shared formatter, and mounted combat inspector; lint and TypeScript passed. A direct browser healing attempt, deployed target explanation/expiry, and character-sheet activation remain pending, so status is Needs retest. The retained scene remains active and unfinished with Tархун at 3/9 HP and the affected Goblin at 6/7 HP. Character ID(s): 8060b4e5-fbd6-4c18-b371-32d52e12fdf1.</x:t>
        </x:r>
      </x:text>
    </x:comment>
    <x:comment ref="L104" authorId="20">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 PASS: Action spend and 15-ft teleport/damage contract are explicit. Combat PASS on d9be461f60175e9660c168860cfbad2408d78c60: the hotbar now waits for a legal destination and moves the token by the chosen distance; line damage remains explicitly certified partial and visible in the card/journal. Clarity PASS: destination, movement and partial line boundary are readable. Retained scene owner: 420d2fbf-ce7b-490d-9f79-34fd209b8d1c. Three dimensions confirmed: sheet/world usage where relevant, combat usage where relevant, and user-visible result clarity. Manual certificate: mini-mvp-cantrips-manual-v1.</x:t>
        </x:r>
      </x:text>
    </x:comment>
    <x:comment ref="L6" authorId="21">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Dexterity save, acid damage, resource spend and target-owned save result were observed; the area boundary is explicitly certified partial and does not overclaim automatic map discovery. Three dimensions confirmed: sheet/world usage where relevant, combat usage where relevant, and user-visible result clarity. Manual certificate: mini-mvp-cantrips-manual-v1.</x:t>
        </x:r>
      </x:text>
    </x:comment>
    <x:comment ref="L8" authorId="22">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within the declared partial boundary: failed Wisdom save applies Charmed and concentration; the target inspector identifies the effect. Creature type, 24-hour repeat immunity and hostility lifecycle remain explicit GM limitations. Three dimensions confirmed: sheet/world usage where relevant, combat usage where relevant, and user-visible result clarity. Manual certificate: mini-mvp-cantrips-manual-v1.</x:t>
        </x:r>
      </x:text>
    </x:comment>
    <x:comment ref="L9" authorId="23">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within the declared partial boundary: an equipped quarterstaff can be selected, bonus action is spent, spellcasting ability/d8 profile and force-or-normal choice are visible. Releasing the weapon remains an explicit limitation. Three dimensions confirmed: sheet/world usage where relevant, combat usage where relevant, and user-visible result clarity. Manual certificate: mini-mvp-cantrips-manual-v1.</x:t>
        </x:r>
      </x:text>
    </x:comment>
    <x:comment ref="L10" authorId="24">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self cast spends one Action, starts concentration and exposes the attacker −1d4 rule and duration in the effect guidance; focused combat rules coverage confirms the modifier. Three dimensions confirmed: sheet/world usage where relevant, combat usage where relevant, and user-visible result clarity. Manual certificate: mini-mvp-cantrips-manual-v1.</x:t>
        </x:r>
      </x:text>
    </x:comment>
    <x:comment ref="L11" authorId="25">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on clean Forge Bard: ranged spell hit, radiant damage and Action spend completed. Light/invisibility benefit is explicit in the card/journal and remains a declared map-lighting limitation. Retained scene owner: 420d2fbf-ce7b-490d-9f79-34fd209b8d1c. Three dimensions confirmed: sheet/world usage where relevant, combat usage where relevant, and user-visible result clarity. Manual certificate: mini-mvp-cantrips-manual-v1.</x:t>
        </x:r>
      </x:text>
    </x:comment>
    <x:comment ref="L12" authorId="26">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on clean Forge Bard: failed Wisdom save dealt psychic damage and applied the next-attack disadvantage. Target guidance now explains both the penalty and one-use consumption. Retained scene owner: 420d2fbf-ce7b-490d-9f79-34fd209b8d1c. Three dimensions confirmed: sheet/world usage where relevant, combat usage where relevant, and user-visible result clarity. Manual certificate: mini-mvp-cantrips-manual-v1.</x:t>
        </x:r>
      </x:text>
    </x:comment>
    <x:comment ref="L13" authorId="27">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Sheet/world-scene/clarity PASS: the weather option spends one Action and creates the supplied forecast with a localized Russian label; other typed plant, sensory and fire options are covered by the shared world primitive. Actor combat targeting is not relevant. Three dimensions confirmed: sheet/world usage where relevant, combat usage where relevant, and user-visible result clarity. Manual certificate: mini-mvp-cantrips-manual-v1.</x:t>
        </x:r>
      </x:text>
    </x:comment>
    <x:comment ref="L17" authorId="28">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Dexterity save and radiant damage resolve with one Action; cover handling is honestly retained as the certified partial boundary. Three dimensions confirmed: sheet/world usage where relevant, combat usage where relevant, and user-visible result clarity. Manual certificate: mini-mvp-cantrips-manual-v1.</x:t>
        </x:r>
      </x:text>
    </x:comment>
    <x:comment ref="L18" authorId="29">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on clean Forge Warlock: critical ranged hit dealt 14 force damage, spent one Action and no slot, with attack and damage visible in the journal. Retained scene owner: 420d2fbf-ce7b-490d-9f79-34fd209b8d1c. Three dimensions confirmed: sheet/world usage where relevant, combat usage where relevant, and user-visible result clarity. Manual certificate: mini-mvp-cantrips-manual-v1.</x:t>
        </x:r>
      </x:text>
    </x:comment>
    <x:comment ref="L19" authorId="30">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selected Athletics check, Action and concentration are persisted on the recipient; recipient guidance now says “Добавьте 1к4 к проверке «Атлетика»”. Three dimensions confirmed: sheet/world usage where relevant, combat usage where relevant, and user-visible result clarity. Manual certificate: mini-mvp-cantrips-manual-v1.</x:t>
        </x:r>
      </x:text>
    </x:comment>
    <x:comment ref="L22" authorId="31">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wounded/unhurt choice, Wisdom save and necrotic damage resolve; Action spend and target-save result are visible. Retained scene owner: 420d2fbf-ce7b-490d-9f79-34fd209b8d1c. Three dimensions confirmed: sheet/world usage where relevant, combat usage where relevant, and user-visible result clarity. Manual certificate: mini-mvp-cantrips-manual-v1.</x:t>
        </x:r>
      </x:text>
    </x:comment>
    <x:comment ref="L23" authorId="32">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Sheet/world-scene/clarity PASS: touched-object form validates an unrepaired break, spends the declared action after validation and persists the repaired object state. Encounter actor targeting is correctly not applicable. Three dimensions confirmed: sheet/world usage where relevant, combat usage where relevant, and user-visible result clarity. Manual certificate: mini-mvp-cantrips-manual-v1.</x:t>
        </x:r>
      </x:text>
    </x:comment>
    <x:comment ref="L24" authorId="33">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Constitution save, emanation targeting, thunder damage and Action spend are covered; combat area geometry is engine-verified and the partial certificate states the map-selection boundary. Retained scene owner: 420d2fbf-ce7b-490d-9f79-34fd209b8d1c. Three dimensions confirmed: sheet/world usage where relevant, combat usage where relevant, and user-visible result clarity. Manual certificate: mini-mvp-cantrips-manual-v1.</x:t>
        </x:r>
      </x:text>
    </x:comment>
    <x:comment ref="L25" authorId="34">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Intelligence save, psychic damage and the next-save penalty resolve; the target-owned journal and inspector make source, die and expiry understandable. Three dimensions confirmed: sheet/world usage where relevant, combat usage where relevant, and user-visible result clarity. Manual certificate: mini-mvp-cantrips-manual-v1.</x:t>
        </x:r>
      </x:text>
    </x:comment>
    <x:comment ref="L27" authorId="35">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failed Dexterity save dealt radiant damage, spent one Action and exposed the save/damage outcome. Cover handling remains the explicit partial boundary. Three dimensions confirmed: sheet/world usage where relevant, combat usage where relevant, and user-visible result clarity. Manual certificate: mini-mvp-cantrips-manual-v1.</x:t>
        </x:r>
      </x:text>
    </x:comment>
    <x:comment ref="L28" authorId="36">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failed Constitution save dealt radiant damage and spent one Action; the emanation and per-target partial boundary are stated clearly. Three dimensions confirmed: sheet/world usage where relevant, combat usage where relevant, and user-visible result clarity. Manual certificate: mini-mvp-cantrips-manual-v1.</x:t>
        </x:r>
      </x:text>
    </x:comment>
    <x:comment ref="L29" authorId="37">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ally target receives a one-turn Message effect, Action is spent and both sheets expose source/delivery. Familiarity and obstacle material remain explicit world-fact limitations. Three dimensions confirmed: sheet/world usage where relevant, combat usage where relevant, and user-visible result clarity. Manual certificate: mini-mvp-cantrips-manual-v1.</x:t>
        </x:r>
      </x:text>
    </x:comment>
    <x:comment ref="L30" authorId="38">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Fire choice, Action and concentration persist on the recipient; guidance now says damage type, 1d4 reduction and once-per-turn limit. Three dimensions confirmed: sheet/world usage where relevant, combat usage where relevant, and user-visible result clarity. Manual certificate: mini-mvp-cantrips-manual-v1.</x:t>
        </x:r>
      </x:text>
    </x:comment>
    <x:comment ref="L31" authorId="39">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2024 Bonus Action, ranged hit, fire damage and light narrative resolve. A durable carried-flame object remains the explicit partial boundary. Three dimensions confirmed: sheet/world usage where relevant, combat usage where relevant, and user-visible result clarity. Manual certificate: mini-mvp-cantrips-manual-v1.</x:t>
        </x:r>
      </x:text>
    </x:comment>
    <x:comment ref="L32" authorId="40">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Sheet/world-scene/clarity PASS: typed elemental option executes and journal operations are localized (air, earth, fire and water). Visual mutation of map art remains an explicit narrative boundary. Three dimensions confirmed: sheet/world usage where relevant, combat usage where relevant, and user-visible result clarity. Manual certificate: mini-mvp-cantrips-manual-v1.</x:t>
        </x:r>
      </x:text>
    </x:comment>
    <x:comment ref="L33" authorId="41">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melee spell attack at range, piercing damage and 10-ft pull event resolve and are visible; automatic token displacement/size enforcement remains explicit partial scope. Three dimensions confirmed: sheet/world usage where relevant, combat usage where relevant, and user-visible result clarity. Manual certificate: mini-mvp-cantrips-manual-v1.</x:t>
        </x:r>
      </x:text>
    </x:comment>
    <x:comment ref="L34" authorId="42">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after explicit 0-HP setup and fresh target facts, the spell stabilizes the ally and journals “Цель стабилизирована”; HP was restored afterward and both characters are retained. Three dimensions confirmed: sheet/world usage where relevant, combat usage where relevant, and user-visible result clarity. Manual certificate: mini-mvp-cantrips-manual-v1.</x:t>
        </x:r>
      </x:text>
    </x:comment>
    <x:comment ref="L36" authorId="43">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on clean Forge Sorcerer: Sound choice requested the correct exploding 3d8 chain, accepted 8/8/3 and dealt 19 thunder with one Action. Retained scene owner: 420d2fbf-ce7b-490d-9f79-34fd209b8d1c. Three dimensions confirmed: sheet/world usage where relevant, combat usage where relevant, and user-visible result clarity. Manual certificate: mini-mvp-cantrips-manual-v1.</x:t>
        </x:r>
      </x:text>
    </x:comment>
    <x:comment ref="L37" authorId="44">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Booming Voice spends one Action and applies the one-minute effect; recipient guidance explicitly says advantage on Intimidation. Other typed narrative options remain visible. Three dimensions confirmed: sheet/world usage where relevant, combat usage where relevant, and user-visible result clarity. Manual certificate: mini-mvp-cantrips-manual-v1.</x:t>
        </x:r>
      </x:text>
    </x:comment>
    <x:comment ref="L38" authorId="45">
      <x:text>
        <x:r>
          <x:t>[Threaded comment]
Your version of Excel allows you to read this threaded comment; however, any edits to it will get removed if the file is opened in a newer version of Excel. Learn more: https://go.microsoft.com/fwlink/?linkid=870924
Comment:
    PASS — production d9be461f60175e9660c168860cfbad2408d78c60. Sheet/combat/clarity PASS: melee spell hit, lightning damage, Action spend and “no opportunity attacks” consequence are visible; automated opportunity-attack suppression remains explicit partial scope. Three dimensions confirmed: sheet/world usage where relevant, combat usage where relevant, and user-visible result clarity. Manual certificate: mini-mvp-cantrips-manual-v1.</x:t>
        </x:r>
      </x:text>
    </x:comment>
    <x:comment ref="L40" authorId="4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t>
        </x:r>
      </x:text>
    </x:comment>
    <x:comment ref="L41" authorId="4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Состояние, обнаружение и управление иллюзией проверены; размещение и визуальная смена образа ещё не подключены к карте. Three dimensions confirmed where relevant. Manual approval: mini-mvp-level1-spells-manual-v1; stronger evidence-locked certificates are preserved.</x:t>
        </x:r>
      </x:text>
    </x:comment>
    <x:comment ref="L42" authorId="4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43" authorId="4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Combat PASS on retained Paladin e521c39b-5f3a-4c61-a78a-3f9bafb04a9f: the post-hit choice spent Bonus Action and a slot and dealt 10 radiant damage (5+5), with no unresolved decision left.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44" authorId="50">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45" authorId="51">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48" authorId="52">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Запрет добровольно уходить дальше 30 футов и досрочные условия завершения пока требуют авторитетного адаптера геометрии и союзников.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49" authorId="53">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50" authorId="54">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Combat PASS on retained Paladin e521c39b-5f3a-4c61-a78a-3f9bafb04a9f: the post-hit choice spent Bonus Action and a slot, dealt 5 necrotic damage, and a failed WIS 11 vs DC 12 applied a visible Frightened effect.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t>
        </x:r>
      </x:text>
    </x:comment>
    <x:comment ref="L51" authorId="55">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Combat PASS on retained Ranger b43c121b-971b-4f92-8726-01c724d2734e: the post-hit choice appeared, Bonus Action and one level-1 slot were spent, the target save auto-resolved, and the journal showed 2 piercing damage on a successful save. The 5-ft secondary-target selection remains an explicit manual boundary and is stated to the user.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t>
        </x:r>
      </x:text>
    </x:comment>
    <x:comment ref="L52" authorId="5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and shared post-hit combat pipeline PASS on retained Paladin e521c39b-5f3a-4c61-a78a-3f9bafb04a9f. Trigger ownership, target, Bonus Action/slot spend, and outcome journaling are confirmed; automatic push/prone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t>
        </x:r>
      </x:text>
    </x:comment>
    <x:comment ref="L53" authorId="5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54" authorId="5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Количество, срок, Бонусное действие, лечение и насыщение проверены; передача ягод другому существу ещё не подключена к инвентарю сцены. Three dimensions confirmed where relevant. Manual approval: mini-mvp-level1-spells-manual-v1; stronger evidence-locked certificates are preserved.</x:t>
        </x:r>
      </x:text>
    </x:comment>
    <x:comment ref="L55" authorId="5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57" authorId="60">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58" authorId="61">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59" authorId="62">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Защита от одержимости и преимущество на новые спасброски против уже действующего Очарования, Испуга или одержимости требуют source-aware связи состояния с типом наложившего существа.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60" authorId="63">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Политика чтения и жизненный цикл иллюзии проверены; текст документа, читатели и расход материального компонента остаются за адаптером предметов. Three dimensions confirmed where relevant. Manual approval: mini-mvp-level1-spells-manual-v1; stronger evidence-locked certificates are preserved.</x:t>
        </x:r>
      </x:text>
    </x:comment>
    <x:comment ref="L61" authorId="64">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62" authorId="65">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65" authorId="6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Ограничения облика и обнаружение проверены; редактор внешности и физический контакт ещё не подключены к UI сцены. Three dimensions confirmed where relevant. Manual approval: mini-mvp-level1-spells-manual-v1; stronger evidence-locked certificates are preserved.</x:t>
        </x:r>
      </x:text>
    </x:comment>
    <x:comment ref="L66" authorId="6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Преимущество на проверки Мудрости (Восприятие и Выживание) для поиска отмеченной цели и перенос метки после падения цели требуют явного выбора связанной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67" authorId="6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68" authorId="6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69" authorId="70">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Стат-блок, запрет атаки, команда, скорость и привязка проверены; отдельный актёр и токен слуги ещё не создаются на карте. Three dimensions confirmed where relevant. Manual approval: mini-mvp-level1-spells-manual-v1; stronger evidence-locked certificates are preserved.</x:t>
        </x:r>
      </x:text>
    </x:comment>
    <x:comment ref="L70" authorId="71">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71" authorId="72">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Типы существ, дальность и материальные блокеры проверены; карта ещё не передаёт движку типы и препятствия. Three dimensions confirmed where relevant. Manual approval: mini-mvp-level1-spells-manual-v1; stronger evidence-locked certificates are preserved.</x:t>
        </x:r>
      </x:text>
    </x:comment>
    <x:comment ref="L73" authorId="73">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74" authorId="74">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75" authorId="75">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Затронутая цель излучает тусклый свет в радиусе 10 футов и не может получать преимущества от состояния «Невидимый»; свет и мировые объекты пока учитываются адаптером сцены.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76" authorId="7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Набор раскрываемых сведений типизирован; выбор объекта и проекция свойств реального предмета ещё не подключены к сцене. Three dimensions confirmed where relevant. Manual approval: mini-mvp-level1-spells-manual-v1; stronger evidence-locked certificates are preserved.</x:t>
        </x:r>
      </x:text>
    </x:comment>
    <x:comment ref="L77" authorId="7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78" authorId="7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Combat PASS on retained Ranger b43c121b-971b-4f92-8726-01c724d2734e: the post-hit choice spent Bonus Action and a slot; the Wolf failed STR 3 vs DC 12, gained the visible Restrained condition, and the inspector/journal explained ongoing 1d6 damage, the escape Athletics action, and size advantage.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t>
        </x:r>
      </x:text>
    </x:comment>
    <x:comment ref="L79" authorId="7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80" authorId="80">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81" authorId="81">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t>
        </x:r>
      </x:text>
    </x:comment>
    <x:comment ref="L82" authorId="82">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and shared post-hit combat pipeline PASS on retained Paladin e521c39b-5f3a-4c61-a78a-3f9bafb04a9f. Trigger ownership, target, Bonus Action/slot spend, and outcome journaling are confirmed; recurring fire/ending-save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t>
        </x:r>
      </x:text>
    </x:comment>
    <x:comment ref="L83" authorId="83">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Грузоподъёмность, дистанции и перепады высоты закреплены данными; автоматическое следование и сброс груза ещё не подключены к карте. Three dimensions confirmed where relevant. Manual approval: mini-mvp-level1-spells-manual-v1; stronger evidence-locked certificates are preserved.</x:t>
        </x:r>
      </x:text>
    </x:comment>
    <x:comment ref="L84" authorId="84">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Режимы языка, касание и время чтения проверены; выбор текста и минутный прогресс чтения ещё не подключены к UI. Three dimensions confirmed where relevant. Manual approval: mini-mvp-level1-spells-manual-v1; stronger evidence-locked certificates are preserved.</x:t>
        </x:r>
      </x:text>
    </x:comment>
    <x:comment ref="L85" authorId="85">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86" authorId="8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and action-cost clarity PASS. Combat approval is limited to its explicit typed guidance: the spell records concentration and the repeat Dash/Bonus Action contract, while automatic ongoing Dash-state mutation remains a declared certified-partial boundary. Declared boundary: Требуется повторная браузерная проверка. Three dimensions confirmed where relevant. Manual approval: mini-mvp-level1-spells-manual-v1; stronger evidence-locked certificates are preserved.</x:t>
        </x:r>
      </x:text>
    </x:comment>
    <x:comment ref="L88" authorId="8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89" authorId="8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t>
        </x:r>
      </x:text>
    </x:comment>
    <x:comment ref="L90" authorId="8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Ограничение Зверьми, речь и доступ к Влиянию проверены; диалог и знания конкретного зверя остаются за адаптером сцены. Three dimensions confirmed where relevant. Manual approval: mini-mvp-level1-spells-manual-v1; stronger evidence-locked certificates are preserved.</x:t>
        </x:r>
      </x:text>
    </x:comment>
    <x:comment ref="L91" authorId="90">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92" authorId="91">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93" authorId="92">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Перенос Сглаза после падения цели требует отдельного Бонусного действия и выбора новой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94" authorId="93">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Оба режима, дальности, исключения и срабатывание проверены; размещение зоны и автоматическое обнаружение входа ещё не подключены к карте. Three dimensions confirmed where relevant. Manual approval: mini-mvp-level1-spells-manual-v1; stronger evidence-locked certificates are preserved.</x:t>
        </x:r>
      </x:text>
    </x:comment>
    <x:comment ref="L95" authorId="94">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t>
        </x:r>
      </x:text>
    </x:comment>
    <x:comment ref="L97" authorId="95">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Все четыре варианта и их пределы типизированы; фактическая мутация воды, огня и тумана ещё не подключена к сцене. Three dimensions confirmed where relevant. Manual approval: mini-mvp-level1-spells-manual-v1; stronger evidence-locked certificates are preserved.</x:t>
        </x:r>
      </x:text>
    </x:comment>
    <x:comment ref="L98" authorId="96">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Геометрия, сильное заслонение, длительность, развеивание ветром и масштабирование закреплены; LOS карты ещё не читает эту зону. Three dimensions confirmed where relevant. Manual approval: mini-mvp-level1-spells-manual-v1; stronger evidence-locked certificates are preserved.</x:t>
        </x:r>
      </x:text>
    </x:comment>
    <x:comment ref="L99" authorId="97">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провале спасброска движок отменяет выбранную атаку или заклинание; интерактивный выбор новой цели остаётся обязанностью encounter UI.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t>
        </x:r>
      </x:text>
    </x:comment>
    <x:comment ref="L101" authorId="98">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t>
        </x:r>
      </x:text>
    </x:comment>
    <x:comment ref="L103" authorId="99">
      <x:text>
        <x:r>
          <x:t>[Threaded comment]
Your version of Excel allows you to read this threaded comment; however, any edits to it will get removed if the file is opened in a newer version of Excel. Learn more: https://go.microsoft.com/fwlink/?linkid=870924
Comment:
    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t>
        </x:r>
      </x:text>
    </x:comment>
  </x:commentList>
</x:comments>
</file>

<file path=xl/comments4.xml><?xml version="1.0" encoding="utf-8"?>
<x:comments xmlns:x="http://schemas.openxmlformats.org/spreadsheetml/2006/main">
  <x:authors>
    <x:author>tc={D70C1374-2F58-41C6-8ED2-B72E0AE7A8D6}</x:author>
    <x:author>tc={B8D0C4D3-7F7B-483C-9948-DF410ADDA256}</x:author>
    <x:author>tc={82DA2163-40A7-4C28-B797-18ACA04D470B}</x:author>
    <x:author>tc={F9B2BB3E-3C70-487F-81D2-743DCA7929E8}</x:author>
    <x:author>tc={D9D270A4-C6CB-44B1-80FA-67D4FAD44517}</x:author>
    <x:author>tc={A0384DD2-6B3F-4A64-BF76-3309A7A260E8}</x:author>
    <x:author>tc={14BD1841-E219-4D88-9DE1-DD3BBEE32100}</x:author>
    <x:author>tc={20A8AD86-15AF-4D5A-9B7F-9F4254036C18}</x:author>
    <x:author>tc={25F3CA88-D277-4A13-A271-646B0807F8F2}</x:author>
    <x:author>tc={153847DF-44CD-4E1B-B12A-9441385ABB2B}</x:author>
    <x:author>tc={333E9AF9-AEDE-4356-AA78-CDF2FE4677A8}</x:author>
    <x:author>tc={A74E2B32-C425-4094-9CAF-D1424C3206DB}</x:author>
    <x:author>tc={74F4F922-6105-4A5B-8344-3A43E9A92543}</x:author>
    <x:author>tc={7CE4F837-C355-4B91-B86A-F78EA25E795F}</x:author>
    <x:author>tc={9060884C-0506-4F04-ACE7-F656E787695E}</x:author>
    <x:author>tc={390D3672-33F6-48AE-899E-65BA922D1444}</x:author>
    <x:author>tc={4D4E52AE-3FF2-47AC-83DD-209A4EF35487}</x:author>
    <x:author>tc={8C83D4DF-304A-4465-92D8-D5A8B597BCA9}</x:author>
    <x:author>tc={ADFDE68C-7455-49CD-AE00-96C133BA52FB}</x:author>
    <x:author>tc={B6B31E61-0244-431D-893A-C1F77A061BB3}</x:author>
    <x:author>tc={26EECDAE-2B15-4C82-AE88-47F4836270E4}</x:author>
    <x:author>tc={1B3136B5-DA4F-4CC6-9820-18AC59BC6990}</x:author>
    <x:author>tc={D4647257-4CAA-423D-BCAA-FD5F2CA82E1B}</x:author>
    <x:author>tc={44BADA12-C809-4A86-9453-6DD05BAF3055}</x:author>
    <x:author>tc={C1EF644A-8897-4C19-AB65-F5079A2672C0}</x:author>
    <x:author>tc={59989854-7CFB-4366-9B01-81B85D3375B6}</x:author>
    <x:author>tc={705B99C1-8F92-44AD-83D2-9DDA2AA0ECD3}</x:author>
    <x:author>tc={4DD5E73B-E33E-49D8-8605-213C36395CAB}</x:author>
    <x:author>tc={FADE4940-A93A-4AE2-8555-FB443CC2EA65}</x:author>
    <x:author>tc={C2AB9BC1-D1B6-4EBD-9505-E0264C4EA932}</x:author>
    <x:author>tc={3C9D94A1-62AD-47A9-A527-22883139704D}</x:author>
    <x:author>tc={B47E277A-AFB6-40D7-B104-3FBA31802BB2}</x:author>
    <x:author>tc={D2804C6C-2C92-4525-B733-0759AB7BA9B6}</x:author>
    <x:author>tc={70248C8F-2CFC-496E-B396-EA1D74A9ED66}</x:author>
    <x:author>tc={AD0F789F-812A-4FA8-8CB2-D31EE3F055A3}</x:author>
    <x:author>tc={392ACA18-774E-441B-BF74-8A8ACFA521FB}</x:author>
    <x:author>tc={39873B90-CDF5-40D1-AA11-E9135D5FA128}</x:author>
    <x:author>tc={B301FAC5-9A13-47D1-9963-53BAD97B4C28}</x:author>
    <x:author>tc={154BED35-ADDF-42B5-8C0F-8929F42FCFC6}</x:author>
    <x:author>tc={B35AE22C-C6E7-4358-8F7C-E18CF1007280}</x:author>
    <x:author>tc={CFC7578A-624D-4684-929F-2E9900E8FA2B}</x:author>
    <x:author>tc={E9752824-E6F9-4741-8169-60B9420A9BFC}</x:author>
    <x:author>tc={1675A078-35F0-4828-8DE1-B9090F8C3A6E}</x:author>
    <x:author>tc={0C1330B6-9CCF-407B-8A64-72F45750F92D}</x:author>
    <x:author>tc={46A826F6-689F-496F-AE40-7D18AEA26143}</x:author>
    <x:author>tc={C01EB38F-280F-47D1-B088-F4D75849B453}</x:author>
    <x:author>tc={9A581D23-51E1-4E8A-9051-13D28240D796}</x:author>
    <x:author>tc={71015CD2-B106-4EFF-AB81-DBCB167225A2}</x:author>
    <x:author>tc={7258FE68-6447-4732-BCC7-4AAAECF5E627}</x:author>
  </x:authors>
  <x:commentList>
    <x:comment ref="L5" authorId="0">
      <x:text>
        <x:r>
          <x:t>[Threaded comment]
Your version of Excel allows you to read this threaded comment; however, any edits to it will get removed if the file is opened in a newer version of Excel. Learn more: https://go.microsoft.com/fwlink/?linkid=870924
Comment:
    After each browser test, record the observable result here. Add the full test evidence as a threaded cell comment and put every character UUID in the Character ID(s) column.</x:t>
        </x:r>
      </x:text>
    </x:comment>
    <x:comment ref="L42" authorId="1">
      <x:text>
        <x:r>
          <x:t>[Threaded comment]
Your version of Excel allows you to read this threaded comment; however, any edits to it will get removed if the file is opened in a newer version of Excel. Learn more: https://go.microsoft.com/fwlink/?linkid=870924
Comment:
    Production browser evidence, 2026-08-30. Before repair, the retained empty-hands attack incorrectly dealt fixed 1 + STR. Release abc6ee741368041b118cf3228d0cee49a71d34aa applied the style to authoritative damage, sheet projection, and hotbar actionRef. Combat retest rolled natural 20 and dealt d8 7 + d8 5 + STR 3 = 15 bludgeoning; Goblin 6→0 and reload retained the journal/victory state. Sheet dice selection requested 1d20 + 1d8. Release 726c7b7aac5f78659c689f58a78986ae219cb2f7 also corrected the preview prose to “Урон: 1d8 + модификатор Силы”. Armed d6 and grapple-start d4 are still pending. Character ID: 84e8c110-bbba-41be-85ef-9165c376d746.</x:t>
        </x:r>
      </x:text>
    </x:comment>
    <x:comment ref="L43" authorId="2">
      <x:text>
        <x:r>
          <x:t>[Threaded comment]
Your version of Excel allows you to read this threaded comment; however, any edits to it will get removed if the file is opened in a newer version of Excel. Learn more: https://go.microsoft.com/fwlink/?linkid=870924
Comment:
    Production browser evidence, 2026-08-30. The fs_unarmed effect now changes the real runtime damage, character-sheet action, immutable ActionPreview entity, and combat hotbar actionRef to d8 when both hands are empty. Production evidence on 726c7b7aac5f78659c689f58a78986ae219cb2f7: sheet formula “атака (к20) → 1к8 + 3 [СИЛ] дробящий”; combat critical d8 7 + d8 5 + STR 3 = 15. Status stays Needs retest until the d6 armed and d4 grapple-start branches are exercised. Character ID: 84e8c110-bbba-41be-85ef-9165c376d746.</x:t>
        </x:r>
      </x:text>
    </x:comment>
    <x:comment ref="L6" authorId="3">
      <x:text>
        <x:r>
          <x:t>[Threaded comment]
Your version of Excel allows you to read this threaded comment; however, any edits to it will get removed if the file is opened in a newer version of Excel. Learn more: https://go.microsoft.com/fwlink/?linkid=870924
Comment:
    Sheet/combat/clarity PARTIAL — initiative correctly gained +PB (+2) and live combat showed 19+4=23. The initiative-swap choice is not exposed, and the card summary does not state the exact bonus.</x:t>
        </x:r>
      </x:text>
    </x:comment>
    <x:comment ref="L7" authorId="4">
      <x:text>
        <x:r>
          <x:t>[Threaded comment]
Your version of Excel allows you to read this threaded comment; however, any edits to it will get removed if the file is opened in a newer version of Excel. Learn more: https://go.microsoft.com/fwlink/?linkid=870924
Comment:
    Mechanical initiative bonus PASS on sheet and in combat. Initiative swap remains narrative-only/unavailable, so the complete effect is not passed; clarity is partial.</x:t>
        </x:r>
      </x:text>
    </x:comment>
    <x:comment ref="L8" authorId="5">
      <x:text>
        <x:r>
          <x:t>[Threaded comment]
Your version of Excel allows you to read this threaded comment; however, any edits to it will get removed if the file is opened in a newer version of Excel. Learn more: https://go.microsoft.com/fwlink/?linkid=870924
Comment:
    Sheet/combat/clarity PARTIAL — sheet granted 2/2 Luck Points and both combat actions were visible. The feat chassis is incomplete because the actions do not modify the bound d20 roll.</x:t>
        </x:r>
      </x:text>
    </x:comment>
    <x:comment ref="L9" authorId="6">
      <x:text>
        <x:r>
          <x:t>[Threaded comment]
Your version of Excel allows you to read this threaded comment; however, any edits to it will get removed if the file is opened in a newer version of Excel. Learn more: https://go.microsoft.com/fwlink/?linkid=870924
Comment:
    Combat/clarity FAIL — action spent one Luck Point and journaled a narrative instruction, but the immediately following attack rolled a single d20 (natural 1), so advantage was not applied.</x:t>
        </x:r>
      </x:text>
    </x:comment>
    <x:comment ref="L10" authorId="7">
      <x:text>
        <x:r>
          <x:t>[Threaded comment]
Your version of Excel allows you to read this threaded comment; however, any edits to it will get removed if the file is opened in a newer version of Excel. Learn more: https://go.microsoft.com/fwlink/?linkid=870924
Comment:
    Combat/clarity FAIL — the action is a self-targeted narrative event rather than a reaction bound to an incoming attack; it cannot impose disadvantage on the attacker.</x:t>
        </x:r>
      </x:text>
    </x:comment>
    <x:comment ref="L11" authorId="8">
      <x:text>
        <x:r>
          <x:t>[Threaded comment]
Your version of Excel allows you to read this threaded comment; however, any edits to it will get removed if the file is opened in a newer version of Excel. Learn more: https://go.microsoft.com/fwlink/?linkid=870924
Comment:
    Sheet/clarity PASS — 2/2 Luck Points equals PB and spending changed it to 1/2. Long-rest restoration was not exercised, and the points currently fund non-functional actions.</x:t>
        </x:r>
      </x:text>
    </x:comment>
    <x:comment ref="L12" authorId="9">
      <x:text>
        <x:r>
          <x:t>[Threaded comment]
Your version of Excel allows you to read this threaded comment; however, any edits to it will get removed if the file is opened in a newer version of Excel. Learn more: https://go.microsoft.com/fwlink/?linkid=870924
Comment:
    Sheet/clarity PASS — feat and all three benefits are visible. Combat semantics are narrative-only and were not available as executable choices.</x:t>
        </x:r>
      </x:text>
    </x:comment>
    <x:comment ref="L13" authorId="10">
      <x:text>
        <x:r>
          <x:t>[Threaded comment]
Your version of Excel allows you to read this threaded comment; however, any edits to it will get removed if the file is opened in a newer version of Excel. Learn more: https://go.microsoft.com/fwlink/?linkid=870924
Comment:
    Sheet/clarity PASS; combat PARTIAL — enhanced-unarmed wording is visible, but no selectable 1d4/re-roll-1 mechanic is wired to the attack.</x:t>
        </x:r>
      </x:text>
    </x:comment>
    <x:comment ref="L14" authorId="11">
      <x:text>
        <x:r>
          <x:t>[Threaded comment]
Your version of Excel allows you to read this threaded comment; however, any edits to it will get removed if the file is opened in a newer version of Excel. Learn more: https://go.microsoft.com/fwlink/?linkid=870924
Comment:
    Sheet/clarity PASS; combat BLOCKED — improvised-weapon proficiency is readable, but the sheet/combat UI has no improvised-weapon action or test item.</x:t>
        </x:r>
      </x:text>
    </x:comment>
    <x:comment ref="L15" authorId="12">
      <x:text>
        <x:r>
          <x:t>[Threaded comment]
Your version of Excel allows you to read this threaded comment; however, any edits to it will get removed if the file is opened in a newer version of Excel. Learn more: https://go.microsoft.com/fwlink/?linkid=870924
Comment:
    Sheet/clarity PASS; combat PARTIAL — push is readable but remains narrative-only rather than an once-per-turn hit choice.</x:t>
        </x:r>
      </x:text>
    </x:comment>
    <x:comment ref="L16" authorId="13">
      <x:text>
        <x:r>
          <x:t>[Threaded comment]
Your version of Excel allows you to read this threaded comment; however, any edits to it will get removed if the file is opened in a newer version of Excel. Learn more: https://go.microsoft.com/fwlink/?linkid=870924
Comment:
    Sheet PASS; combat/clarity FAIL — a live dagger hit rolled 1 damage and kept 1; no second die or player choice appeared.</x:t>
        </x:r>
      </x:text>
    </x:comment>
    <x:comment ref="L17" authorId="14">
      <x:text>
        <x:r>
          <x:t>[Threaded comment]
Your version of Excel allows you to read this threaded comment; however, any edits to it will get removed if the file is opened in a newer version of Excel. Learn more: https://go.microsoft.com/fwlink/?linkid=870924
Comment:
    Combat/clarity FAIL — live weapon damage displayed only one d4 result (1), with no reroll/either-result choice.</x:t>
        </x:r>
      </x:text>
    </x:comment>
    <x:comment ref="L18" authorId="15">
      <x:text>
        <x:r>
          <x:t>[Threaded comment]
Your version of Excel allows you to read this threaded comment; however, any edits to it will get removed if the file is opened in a newer version of Excel. Learn more: https://go.microsoft.com/fwlink/?linkid=870924
Comment:
    Sheet/combat/clarity PASS — at level 1, maximum HP increased 10→12 and the retained combat actor immediately showed 5/12.</x:t>
        </x:r>
      </x:text>
    </x:comment>
    <x:comment ref="L19" authorId="16">
      <x:text>
        <x:r>
          <x:t>[Threaded comment]
Your version of Excel allows you to read this threaded comment; however, any edits to it will get removed if the file is opened in a newer version of Excel. Learn more: https://go.microsoft.com/fwlink/?linkid=870924
Comment:
    Effect PASS — +2 HP per level is reflected consistently in the full sheet and combat hotbar/inspector.</x:t>
        </x:r>
      </x:text>
    </x:comment>
    <x:comment ref="L20" authorId="17">
      <x:text>
        <x:r>
          <x:t>[Threaded comment]
Your version of Excel allows you to read this threaded comment; however, any edits to it will get removed if the file is opened in a newer version of Excel. Learn more: https://go.microsoft.com/fwlink/?linkid=870924
Comment:
    Sheet/combat/clarity PARTIAL — feat benefits are readable and Field Medic appears in the hotbar, but full kit charge + target Hit Die execution is not certified.</x:t>
        </x:r>
      </x:text>
    </x:comment>
    <x:comment ref="L21" authorId="18">
      <x:text>
        <x:r>
          <x:t>[Threaded comment]
Your version of Excel allows you to read this threaded comment; however, any edits to it will get removed if the file is opened in a newer version of Excel. Learn more: https://go.microsoft.com/fwlink/?linkid=870924
Comment:
    Sheet/combat/clarity PARTIAL — Field Medic is visible, but its implementation is uncertified and simplified to d8; target Hit Die and healer-kit consumption were not proven.</x:t>
        </x:r>
      </x:text>
    </x:comment>
    <x:comment ref="L22" authorId="19">
      <x:text>
        <x:r>
          <x:t>[Threaded comment]
Your version of Excel allows you to read this threaded comment; however, any edits to it will get removed if the file is opened in a newer version of Excel. Learn more: https://go.microsoft.com/fwlink/?linkid=870924
Comment:
    Sheet clarity PASS; combat semantics pending — reroll-on-1 is narrative-only and no eligible healing roll exposed the choice.</x:t>
        </x:r>
      </x:text>
    </x:comment>
    <x:comment ref="L23" authorId="20">
      <x:text>
        <x:r>
          <x:t>[Threaded comment]
Your version of Excel allows you to read this threaded comment; however, any edits to it will get removed if the file is opened in a newer version of Excel. Learn more: https://go.microsoft.com/fwlink/?linkid=870924
Comment:
    Sheet/clarity PARTIAL — Musician and three instrument choices are present. Rest-time ally delivery of Heroic Inspiration has no executable party workflow.</x:t>
        </x:r>
      </x:text>
    </x:comment>
    <x:comment ref="L24" authorId="21">
      <x:text>
        <x:r>
          <x:t>[Threaded comment]
Your version of Excel allows you to read this threaded comment; however, any edits to it will get removed if the file is opened in a newer version of Excel. Learn more: https://go.microsoft.com/fwlink/?linkid=870924
Comment:
    Sheet PASS — bagpipes, drum and dulcimer choices are retained and understandable; tool use has no combat path.</x:t>
        </x:r>
      </x:text>
    </x:comment>
    <x:comment ref="L25" authorId="22">
      <x:text>
        <x:r>
          <x:t>[Threaded comment]
Your version of Excel allows you to read this threaded comment; however, any edits to it will get removed if the file is opened in a newer version of Excel. Learn more: https://go.microsoft.com/fwlink/?linkid=870924
Comment:
    Sheet/clarity PASS; combat/rest FAIL-to-execute — song text is visible, but no allies can be selected and no inspiration token is delivered after rest.</x:t>
        </x:r>
      </x:text>
    </x:comment>
    <x:comment ref="L26" authorId="23">
      <x:text>
        <x:r>
          <x:t>[Threaded comment]
Your version of Excel allows you to read this threaded comment; however, any edits to it will get removed if the file is opened in a newer version of Excel. Learn more: https://go.microsoft.com/fwlink/?linkid=870924
Comment:
    Sheet/clarity PASS — three chosen proficiencies are visible in their skill rows with source «черта · Одарённый». Combat is not relevant.</x:t>
        </x:r>
      </x:text>
    </x:comment>
    <x:comment ref="L27" authorId="24">
      <x:text>
        <x:r>
          <x:t>[Threaded comment]
Your version of Excel allows you to read this threaded comment; however, any edits to it will get removed if the file is opened in a newer version of Excel. Learn more: https://go.microsoft.com/fwlink/?linkid=870924
Comment:
    Effect PASS — Investigation +2, Medicine +3 and Intimidation +4 show proficiency and full roll breakdown; the source is clear.</x:t>
        </x:r>
      </x:text>
    </x:comment>
    <x:comment ref="L28" authorId="25">
      <x:text>
        <x:r>
          <x:t>[Threaded comment]
Your version of Excel allows you to read this threaded comment; however, any edits to it will get removed if the file is opened in a newer version of Excel. Learn more: https://go.microsoft.com/fwlink/?linkid=870924
Comment:
    Sheet/combat/clarity PASS — multiple retained characters completed spell choices; cantrips and the once-per-long-rest spell appear in the sheet and combat resource-filtered hotbar.</x:t>
        </x:r>
      </x:text>
    </x:comment>
    <x:comment ref="L29" authorId="26">
      <x:text>
        <x:r>
          <x:t>[Threaded comment]
Your version of Excel allows you to read this threaded comment; however, any edits to it will get removed if the file is opened in a newer version of Excel. Learn more: https://go.microsoft.com/fwlink/?linkid=870924
Comment:
    Effect PASS — selected ability/spells persisted, free-use casting consumed only the dedicated resource, second use was blocked, and refresh restored it.</x:t>
        </x:r>
      </x:text>
    </x:comment>
    <x:comment ref="L30" authorId="27">
      <x:text>
        <x:r>
          <x:t>[Threaded comment]
Your version of Excel allows you to read this threaded comment; however, any edits to it will get removed if the file is opened in a newer version of Excel. Learn more: https://go.microsoft.com/fwlink/?linkid=870924
Comment:
    Sheet/combat/clarity BLOCKED — the feat needs three artisan-tool choices, while no purchase/crafting surface exists for the other benefits.</x:t>
        </x:r>
      </x:text>
    </x:comment>
    <x:comment ref="L31" authorId="28">
      <x:text>
        <x:r>
          <x:t>[Threaded comment]
Your version of Excel allows you to read this threaded comment; however, any edits to it will get removed if the file is opened in a newer version of Excel. Learn more: https://go.microsoft.com/fwlink/?linkid=870924
Comment:
    Sheet choice is defined but was not completed in this pass; no tool-usage surface exists to demonstrate the proficiency.</x:t>
        </x:r>
      </x:text>
    </x:comment>
    <x:comment ref="L32" authorId="29">
      <x:text>
        <x:r>
          <x:t>[Threaded comment]
Your version of Excel allows you to read this threaded comment; however, any edits to it will get removed if the file is opened in a newer version of Excel. Learn more: https://go.microsoft.com/fwlink/?linkid=870924
Comment:
    Clarity PASS from the card; behavior BLOCKED — the website has no shop/purchase flow where the 20% discount can be observed.</x:t>
        </x:r>
      </x:text>
    </x:comment>
    <x:comment ref="L33" authorId="30">
      <x:text>
        <x:r>
          <x:t>[Threaded comment]
Your version of Excel allows you to read this threaded comment; however, any edits to it will get removed if the file is opened in a newer version of Excel. Learn more: https://go.microsoft.com/fwlink/?linkid=870924
Comment:
    Clarity PASS from the card; behavior BLOCKED — no crafting-after-long-rest action or temporary-item lifecycle is exposed.</x:t>
        </x:r>
      </x:text>
    </x:comment>
    <x:comment ref="L34" authorId="31">
      <x:text>
        <x:r>
          <x:t>[Threaded comment]
Your version of Excel allows you to read this threaded comment; however, any edits to it will get removed if the file is opened in a newer version of Excel. Learn more: https://go.microsoft.com/fwlink/?linkid=870924
Comment:
    Sheet/combat/clarity PASS — with one dagger and an empty off hand, a live hit showed +2 DEX and +2 Fighting Style: Dueling, for 5 total damage.</x:t>
        </x:r>
      </x:text>
    </x:comment>
    <x:comment ref="L35" authorId="32">
      <x:text>
        <x:r>
          <x:t>[Threaded comment]
Your version of Excel allows you to read this threaded comment; however, any edits to it will get removed if the file is opened in a newer version of Excel. Learn more: https://go.microsoft.com/fwlink/?linkid=870924
Comment:
    Effect PASS — the conditional +2 damage is applied and itemized in the combat journal.</x:t>
        </x:r>
      </x:text>
    </x:comment>
    <x:comment ref="L36" authorId="33">
      <x:text>
        <x:r>
          <x:t>[Threaded comment]
Your version of Excel allows you to read this threaded comment; however, any edits to it will get removed if the file is opened in a newer version of Excel. Learn more: https://go.microsoft.com/fwlink/?linkid=870924
Comment:
    Sheet/clarity PASS — the reaction and shield/adjacent-ally requirements are readable. No shielded adjacent-ally attack scenario was available.</x:t>
        </x:r>
      </x:text>
    </x:comment>
    <x:comment ref="L37" authorId="34">
      <x:text>
        <x:r>
          <x:t>[Threaded comment]
Your version of Excel allows you to read this threaded comment; however, any edits to it will get removed if the file is opened in a newer version of Excel. Learn more: https://go.microsoft.com/fwlink/?linkid=870924
Comment:
    Combat pending — effect has an empty mechanics payload, so attack disadvantage and reaction consumption were not proven.</x:t>
        </x:r>
      </x:text>
    </x:comment>
    <x:comment ref="L38" authorId="35">
      <x:text>
        <x:r>
          <x:t>[Threaded comment]
Your version of Excel allows you to read this threaded comment; however, any edits to it will get removed if the file is opened in a newer version of Excel. Learn more: https://go.microsoft.com/fwlink/?linkid=870924
Comment:
    Sheet/combat/clarity PASS after fix — chain mail + Defense showed AC 17; a retained Goblin attack then resolved against AC 17, not the previous incorrect AC 11.</x:t>
        </x:r>
      </x:text>
    </x:comment>
    <x:comment ref="L39" authorId="36">
      <x:text>
        <x:r>
          <x:t>[Threaded comment]
Your version of Excel allows you to read this threaded comment; however, any edits to it will get removed if the file is opened in a newer version of Excel. Learn more: https://go.microsoft.com/fwlink/?linkid=870924
Comment:
    Effect PASS after deployed runtime fix 4325ee2 — combat actor AC now uses the same equipment/passive calculation as the sheet.</x:t>
        </x:r>
      </x:text>
    </x:comment>
    <x:comment ref="L40" authorId="37">
      <x:text>
        <x:r>
          <x:t>[Threaded comment]
Your version of Excel allows you to read this threaded comment; however, any edits to it will get removed if the file is opened in a newer version of Excel. Learn more: https://go.microsoft.com/fwlink/?linkid=870924
Comment:
    Sheet/clarity PASS — trigger, equipment requirement and 1d10+PB reduction are readable. No adjacent-ally damage reaction scenario was completed.</x:t>
        </x:r>
      </x:text>
    </x:comment>
    <x:comment ref="L41" authorId="38">
      <x:text>
        <x:r>
          <x:t>[Threaded comment]
Your version of Excel allows you to read this threaded comment; however, any edits to it will get removed if the file is opened in a newer version of Excel. Learn more: https://go.microsoft.com/fwlink/?linkid=870924
Comment:
    Combat pending — effect has an empty mechanics payload; reduction, reaction spend and journal explanation remain unproven.</x:t>
        </x:r>
      </x:text>
    </x:comment>
    <x:comment ref="L44" authorId="39">
      <x:text>
        <x:r>
          <x:t>[Threaded comment]
Your version of Excel allows you to read this threaded comment; however, any edits to it will get removed if the file is opened in a newer version of Excel. Learn more: https://go.microsoft.com/fwlink/?linkid=870924
Comment:
    Sheet/combat/clarity PASS — live damage changed 2 and 4 to 3 and 4. Deployed fix 4325ee2 rebuilds readable breakdown from the transformed dice; focused regression verifies «к6: 3, 4».</x:t>
        </x:r>
      </x:text>
    </x:comment>
    <x:comment ref="L45" authorId="40">
      <x:text>
        <x:r>
          <x:t>[Threaded comment]
Your version of Excel allows you to read this threaded comment; however, any edits to it will get removed if the file is opened in a newer version of Excel. Learn more: https://go.microsoft.com/fwlink/?linkid=870924
Comment:
    Effect PASS — two-handed qualifying weapon minimum-die rule applies. The prior contradictory persisted text was fixed and regression-covered.</x:t>
        </x:r>
      </x:text>
    </x:comment>
    <x:comment ref="L46" authorId="41">
      <x:text>
        <x:r>
          <x:t>[Threaded comment]
Your version of Excel allows you to read this threaded comment; however, any edits to it will get removed if the file is opened in a newer version of Excel. Learn more: https://go.microsoft.com/fwlink/?linkid=870924
Comment:
    Sheet/clarity PASS — «Слепое зрение 10 фт» appears alongside Darkvision. An invisible-target combat scenario is unavailable.</x:t>
        </x:r>
      </x:text>
    </x:comment>
    <x:comment ref="L47" authorId="42">
      <x:text>
        <x:r>
          <x:t>[Threaded comment]
Your version of Excel allows you to read this threaded comment; however, any edits to it will get removed if the file is opened in a newer version of Excel. Learn more: https://go.microsoft.com/fwlink/?linkid=870924
Comment:
    Effect display PASS; combat pending — the granted sense is visible and understandable, but targeting an unseen creature within/outside 10 ft was not exercised.</x:t>
        </x:r>
      </x:text>
    </x:comment>
    <x:comment ref="L48" authorId="43">
      <x:text>
        <x:r>
          <x:t>[Threaded comment]
Your version of Excel allows you to read this threaded comment; however, any edits to it will get removed if the file is opened in a newer version of Excel. Learn more: https://go.microsoft.com/fwlink/?linkid=870924
Comment:
    Sheet/combat/clarity PARTIAL — two daggers equip correctly and the off-hand card explains bonus-action/light-weapon rules. Reliable end-to-end modifier damage was not obtained.</x:t>
        </x:r>
      </x:text>
    </x:comment>
    <x:comment ref="L49" authorId="44">
      <x:text>
        <x:r>
          <x:t>[Threaded comment]
Your version of Excel allows you to read this threaded comment; however, any edits to it will get removed if the file is opened in a newer version of Excel. Learn more: https://go.microsoft.com/fwlink/?linkid=870924
Comment:
    Combat pending — the +ability modifier source is present in mechanics (currently English), but a completed off-hand hit did not journal reliably in the retained scene.</x:t>
        </x:r>
      </x:text>
    </x:comment>
    <x:comment ref="L50" authorId="45">
      <x:text>
        <x:r>
          <x:t>[Threaded comment]
Your version of Excel allows you to read this threaded comment; however, any edits to it will get removed if the file is opened in a newer version of Excel. Learn more: https://go.microsoft.com/fwlink/?linkid=870924
Comment:
    Sheet/combat/clarity PARTIAL — thrown dagger action is visible; the live attempt missed 12 vs AC 15, so the +2 damage path was not reached.</x:t>
        </x:r>
      </x:text>
    </x:comment>
    <x:comment ref="L51" authorId="46">
      <x:text>
        <x:r>
          <x:t>[Threaded comment]
Your version of Excel allows you to read this threaded comment; however, any edits to it will get removed if the file is opened in a newer version of Excel. Learn more: https://go.microsoft.com/fwlink/?linkid=870924
Comment:
    Combat pending — the qualifying +2 damage source is readable in mechanics, but no live hit proved it.</x:t>
        </x:r>
      </x:text>
    </x:comment>
    <x:comment ref="L52" authorId="47">
      <x:text>
        <x:r>
          <x:t>[Threaded comment]
Your version of Excel allows you to read this threaded comment; however, any edits to it will get removed if the file is opened in a newer version of Excel. Learn more: https://go.microsoft.com/fwlink/?linkid=870924
Comment:
    Sheet/combat/clarity PASS — live longbow attack showed 10 +2 DEX +2 PB +2 Fighting Style: Archery =16 vs AC12, then dealt 7.</x:t>
        </x:r>
      </x:text>
    </x:comment>
    <x:comment ref="L53" authorId="48">
      <x:text>
        <x:r>
          <x:t>[Threaded comment]
Your version of Excel allows you to read this threaded comment; however, any edits to it will get removed if the file is opened in a newer version of Excel. Learn more: https://go.microsoft.com/fwlink/?linkid=870924
Comment:
    Effect PASS — +2 ranged-weapon attack modifier is itemized in the journal; source label is still English.</x:t>
        </x:r>
      </x:text>
    </x:comment>
  </x:commentList>
</x:comments>
</file>

<file path=xl/comments5.xml><?xml version="1.0" encoding="utf-8"?>
<x:comments xmlns:x="http://schemas.openxmlformats.org/spreadsheetml/2006/main">
  <x:authors>
    <x:author>tc={5FDC965F-9C2F-4397-9639-6ECD10AA248B}</x:author>
    <x:author>tc={46606F06-FD65-42D9-BB3D-6592B049B3E2}</x:author>
    <x:author>tc={5957F518-A10C-4987-A39F-21E38903B66B}</x:author>
    <x:author>tc={C4AE6B9B-9E14-4C27-B0CF-B9CC07E35914}</x:author>
    <x:author>tc={A68EF99F-96D9-40FF-8840-246D8253598E}</x:author>
    <x:author>tc={D5258D5A-F10E-4321-9F4C-AAD13BDD1456}</x:author>
    <x:author>tc={23DABFEC-E719-437A-8657-1169079CAD35}</x:author>
    <x:author>tc={53AB057A-EBD9-4D21-99CB-3432505374C2}</x:author>
    <x:author>tc={C5ED3EC6-C93A-4CBC-89FE-9598A19F0ED1}</x:author>
    <x:author>tc={9A22C9B5-0527-4C60-BFB5-4933825B5A30}</x:author>
    <x:author>tc={19E40199-DB75-4608-B56B-2CCD9EAB5CE0}</x:author>
    <x:author>tc={13990697-043F-4F2C-861F-1C5BE6EBCCD6}</x:author>
    <x:author>tc={B63D9353-BF33-4F26-AE29-F5F692A31B22}</x:author>
    <x:author>tc={F2B0048E-2F27-4EC5-B050-CB943B26C4BC}</x:author>
    <x:author>tc={DDB352A6-2110-482C-813B-805F0ACD82F4}</x:author>
    <x:author>tc={072FA11F-84BE-4AA2-8B2E-CD6532D11D7B}</x:author>
    <x:author>tc={FCE348AE-642C-4162-BED5-97F8EF98B69C}</x:author>
    <x:author>tc={58F3ED55-B1A7-4DBC-8B6D-227822FC889A}</x:author>
    <x:author>tc={8F992F77-EC0F-409A-A364-D284C374A7BE}</x:author>
    <x:author>tc={62908D3F-6B38-49C9-A5E7-EDAAD734A7A9}</x:author>
    <x:author>tc={0ABD83B8-7FF2-46A2-90F4-6E509236C05B}</x:author>
    <x:author>tc={F5D0E11C-297A-4347-97ED-7E7F3C6C6785}</x:author>
    <x:author>tc={4FF12BFD-201D-4B5E-88B7-8C077586E0B0}</x:author>
    <x:author>tc={D8215803-3DFA-40B3-BB62-0DA49EAFDF0C}</x:author>
    <x:author>tc={9D91F025-2C45-4254-B525-F4B6515DD6B7}</x:author>
    <x:author>tc={C3182FEE-3523-494E-9857-91D3D39106D0}</x:author>
    <x:author>tc={18B4DCBB-62C3-411E-80A3-E4F49FBF793A}</x:author>
    <x:author>tc={157DD2C3-09EB-4139-A0C8-C69F8E4205BC}</x:author>
    <x:author>tc={F0E2C035-23C7-43C2-8A6A-814FB5E3DFC3}</x:author>
    <x:author>tc={B16BA6F2-3E6B-4139-9248-456F2DB9B3B5}</x:author>
    <x:author>tc={8712AE64-00D0-42B6-8938-34A9B4B09FF9}</x:author>
    <x:author>tc={3958570C-DF7E-4A9A-A607-CFED2423C717}</x:author>
    <x:author>tc={233D437D-4432-4074-B41D-BC4C8911B584}</x:author>
    <x:author>tc={41B9166C-8E09-453A-9554-3631C0C4EDDC}</x:author>
    <x:author>tc={AA0788B1-6D15-4035-B743-3854606EE156}</x:author>
    <x:author>tc={4D094A31-50C5-4347-9AF1-047BC45C33F3}</x:author>
    <x:author>tc={30BE7151-8E25-4328-8EFF-01293F6AF875}</x:author>
    <x:author>tc={79A85BA9-97F1-4389-B610-CB1C601845A1}</x:author>
    <x:author>tc={90AE4603-DAD3-41E6-9A05-DB8DB7BF9499}</x:author>
    <x:author>tc={2ACB4B73-F7E8-4BE9-A1F7-92DDEF3DBCF2}</x:author>
    <x:author>tc={A7D17A9A-E58D-40CC-B347-510CEECB2521}</x:author>
    <x:author>tc={BC1DB82B-6BD5-4921-96A9-01122178390A}</x:author>
    <x:author>tc={969D3980-30C6-42EA-8058-A8CB56BDF8E5}</x:author>
    <x:author>tc={3E577775-BA6E-4369-860C-62CB27143D7A}</x:author>
    <x:author>tc={A2667259-3B3D-4EDA-A841-D7C680FE5BA5}</x:author>
    <x:author>tc={3E7BF1AE-0AC8-43D1-8BC4-628B5804E884}</x:author>
  </x:authors>
  <x:commentList>
    <x:comment ref="K5" authorId="0">
      <x:text>
        <x:r>
          <x:t>[Threaded comment]
Your version of Excel allows you to read this threaded comment; however, any edits to it will get removed if the file is opened in a newer version of Excel. Learn more: https://go.microsoft.com/fwlink/?linkid=870924
Comment:
    After each browser test, record the observable result here. Add the full test evidence as a threaded cell comment and put every character UUID in the Character ID(s) column.</x:t>
        </x:r>
      </x:text>
    </x:comment>
    <x:comment ref="K6" authorId="1">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Bardic Inspiration spent only the bonus-action resource. Combat: pending. Clarity: PASS — resource state changed visibly. Character ID(s): 100eb271-ad36-4045-9aea-ef0d01a9e395.</x:t>
        </x:r>
      </x:text>
    </x:comment>
    <x:comment ref="K7" authorId="2">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tested cantrips and Cure Wounds consumed the main action and disabled further main-action use until refresh. Combat: pending. Clarity: partial — initial action availability briefly loads disabled without explanation. Character ID(s): 100eb271-ad36-4045-9aea-ef0d01a9e395.</x:t>
        </x:r>
      </x:text>
    </x:comment>
    <x:comment ref="K42" authorId="3">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partial PASS — Cure Wounds rolled 13 healing and respected maximum HP. Actual HP increase, damage, temporary HP ordering, and combat: pending. Character ID(s): 100eb271-ad36-4045-9aea-ef0d01a9e395.</x:t>
        </x:r>
      </x:text>
    </x:comment>
    <x:comment ref="K48" authorId="4">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f601e00530c788ef3f7fe3076be9bf66d100208b. Sheet: PASS — three cantrips consumed no slot; Cure Wounds consumed exactly one level-1 slot; long rest restored slots. Combat: pending. Clarity: PASS. Character ID(s): 100eb271-ad36-4045-9aea-ef0d01a9e395.</x:t>
        </x:r>
      </x:text>
    </x:comment>
    <x:comment ref="K21" authorId="5">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Goblin Warrior moved 30 ft, used Scimitar, spent action 1/1, rolled 19 +2 DEX = 21 against AC 12, hit, rolled 1 on d6, and dealt 1 slashing damage to the Bard (9 to 8 HP). Clarity: PASS — action cost, attack die/modifier/total, AC, hit, damage die/type, source, target, and HP are visible and persist. Character ID(s): 100eb271-ad36-4045-9aea-ef0d01a9e395.</x:t>
        </x:r>
      </x:text>
    </x:comment>
    <x:comment ref="K41" authorId="6">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the scene constructor changed the Bard initiative from 7 to 20, reordered Bard/Goblin/Goliath to 20/18/12, preserved “Ход: A.Бард”, added an explicit journal event, and retained order plus active actor after reload. Character ID(s): 100eb271-ad36-4045-9aea-ef0d01a9e395; 84e8c110-bbba-41be-85ef-9165c376d746.</x:t>
        </x:r>
      </x:text>
    </x:comment>
    <x:comment ref="K44" authorId="7">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Goblin Scimitar resolved d20 19 +2 DEX = 21 against Bard AC 12 and selected the hit branch. Clarity: PASS — die, modifier, total, AC, outcome, source, and target are all explicit in the combat journal and survived reload. Character ID(s): 100eb271-ad36-4045-9aea-ef0d01a9e395.</x:t>
        </x:r>
      </x:text>
    </x:comment>
    <x:comment ref="K45" authorId="8">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Thunderwave used Constitution, rolled d20 9 +0 CON = 9 against DC 12, selected failure, then applied full 2d8 damage and 10 ft push. Clarity: PASS — ability, die, modifier, total, DC, branch, damage, and movement are visible and persist. Character ID(s): 100eb271-ad36-4045-9aea-ef0d01a9e395.</x:t>
        </x:r>
      </x:text>
    </x:comment>
    <x:comment ref="K46" authorId="9">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f7d5fb86778fa3d4b3edcd1a0a25be22215554f2. Combat: PASS — after spending action, bonus action, one spell slot, and Bardic Inspiration, the scene constructor restored the Bard from 4/7 to 7/7 resources. HP stayed 8/9, Bard remained active, positions and journal stayed intact, and the Goliath retained the 1d6 inspiration effect. Reload preserved the refreshed resources and scene. Character ID(s): 100eb271-ad36-4045-9aea-ef0d01a9e395; 84e8c110-bbba-41be-85ef-9165c376d746.</x:t>
        </x:r>
      </x:text>
    </x:comment>
    <x:comment ref="K8" authorId="10">
      <x:text>
        <x:r>
          <x:t>[Threaded comment]
Your version of Excel allows you to read this threaded comment; however, any edits to it will get removed if the file is opened in a newer version of Excel. Learn more: https://go.microsoft.com/fwlink/?linkid=870924
Comment:
    Production browser evidence, 2026-08-30. Stone Endurance was not a proactive hotbar action; it appeared only in the damage reaction window after the Goblin hit. Accepting it spent reaction 1 and one Giant Legacy charge. When the Goliath's next turn began, reaction returned to 1/1 while the charge remained spent. Reload preserved the result. Character ID(s): 84e8c110-bbba-41be-85ef-9165c376d746.</x:t>
        </x:r>
      </x:text>
    </x:comment>
    <x:comment ref="K43" authorId="11">
      <x:text>
        <x:r>
          <x:t>[Threaded comment]
Your version of Excel allows you to read this threaded comment; however, any edits to it will get removed if the file is opened in a newer version of Excel. Learn more: https://go.microsoft.com/fwlink/?linkid=870924
Comment:
    Production browser evidence, 2026-08-30. Release a52c96d54cc641b5fcd594aad2a44f2c5e0629e2 reconciled remaining movement when effective speed changes. The retained Goliath started at 35 ft, Large Form raised it to 45, movement from cell 7,9 to 7,1 consumed 40 ft, and the UI showed 5 ft remaining. The old engine would reject that path. Reload preserved position, the 40-ft journal entry, active effects, and 5-ft ledger. Focused regression: 15/15 tests passed. Character ID(s): 84e8c110-bbba-41be-85ef-9165c376d746.</x:t>
        </x:r>
      </x:text>
    </x:comment>
    <x:comment ref="K13" authorId="12">
      <x:text>
        <x:r>
          <x:t>[Threaded comment]
Your version of Excel allows you to read this threaded comment; however, any edits to it will get removed if the file is opened in a newer version of Excel. Learn more: https://go.microsoft.com/fwlink/?linkid=870924
Comment:
    Production browser evidence, 2026-08-30. The same retained combat scene proved both paths: baseline “Безоружный удар” dealt 1 + STR 3 = 4 before the style integration fix; after abc6ee741368041b118cf3228d0cee49a71d34aa, an empty-hands critical rolled d8 7 + d8 5 + STR 3 = 15 bludgeoning, reduced Goblin 6→0, and persisted through reload. Sheet activation requested d20 + d8 and the final 726c7b7aac5f78659c689f58a78986ae219cb2f7 card shows both “1к8 + 3 [СИЛ]” and “Урон: 1d8 + модификатор Силы”. Resource spend/disable and target/range feedback were visible. Character ID: 84e8c110-bbba-41be-85ef-9165c376d746.</x:t>
        </x:r>
      </x:text>
    </x:comment>
    <x:comment ref="J7" authorId="13">
      <x:text>
        <x:r>
          <x:t>[Threaded comment]
Your version of Excel allows you to read this threaded comment; however, any edits to it will get removed if the file is opened in a newer version of Excel. Learn more: https://go.microsoft.com/fwlink/?linkid=870924
Comment:
    Earlier production browser evidence, 2026-08-30. Release f601e00530c788ef3f7fe3076be9bf66d100208b. Sheet: PASS — tested cantrips and Cure Wounds consumed the main action and disabled further main-action use until refresh. Combat: pending. Clarity: partial — initial action availability briefly loads disabled without explanation. Character ID(s): 100eb271-ad36-4045-9aea-ef0d01a9e395.
Earlier production browser evidence update, 2026-08-30. Release f7d5fb86778fa3d4b3edcd1a0a25be22215554f2. Combat: PASS — Thunderwave consumed action 1/1 to 0/1, disabled main-action choices, and left Bardic Inspiration available until its separate bonus-action use. The resource-button filter shows only level-1-slot actions and a second click restores the default hotbar. Clarity remains PARTIAL due the earlier unexplained disabled state during initial sheet loading. Character ID(s): 100eb271-ad36-4045-9aea-ef0d01a9e395.
Cross-cutting production browser evidence, 2026-08-31. Release afa3f6c30a96e29603a64d34ba09287610577b78. The retained Dragonborn Wizard 89f8fefe-acf2-45bc-86e1-960d8cb49188 cast Mage Hand from the full character sheet while its dedicated combat scene was active. The sheet spent action 1/1→0/1, but reloading the retained combat restored that scene's independent action 1/1. This proves the two surfaces could both accept mutations against divergent turn ledgers. Commit 8732be3 makes the dedicated combat surface authoritative: both classic and cockpit Action/Spells panels receive a clear lock reason; action execution, manual effect removal, and Mage Hand follow-up controls are disabled and guarded while solo_combat_v1 is active; online encounter behavior is unchanged. Focused regression tests passed 4/4, targeted lint passed, and the production build compiled 4,624 modules. Production retest is required after Timecloud capacity permits deployment. Character ID(s): 89f8fefe-acf2-45bc-86e1-960d8cb49188; earlier action-economy evidence: 100eb271-ad36-4045-9aea-ef0d01a9e395.</x:t>
        </x:r>
      </x:text>
    </x:comment>
    <x:comment ref="K9" authorId="14">
      <x:text>
        <x:r>
          <x:t>[Threaded comment]
Your version of Excel allows you to read this threaded comment; however, any edits to it will get removed if the file is opened in a newer version of Excel. Learn more: https://go.microsoft.com/fwlink/?linkid=870924
Comment:
    Sheet/combat/clarity PASS — Spear + Scimitar was rejected with qualifying_weapon_not_light and preserved bonus action. Short Sword + Scimitar was accepted; action and bonus action each fell 1→0 and the journal explained the sequence.</x:t>
        </x:r>
      </x:text>
    </x:comment>
    <x:comment ref="K10" authorId="15">
      <x:text>
        <x:r>
          <x:t>[Threaded comment]
Your version of Excel allows you to read this threaded comment; however, any edits to it will get removed if the file is opened in a newer version of Excel. Learn more: https://go.microsoft.com/fwlink/?linkid=870924
Comment:
    Catalog duplicate — the visible sheet routes two-weapon attacks through action_basic_offhand. This legacy entity is shadowed and was not independently addressable in the browser; canonical behavior passed.</x:t>
        </x:r>
      </x:text>
    </x:comment>
    <x:comment ref="K11" authorId="16">
      <x:text>
        <x:r>
          <x:t>[Threaded comment]
Your version of Excel allows you to read this threaded comment; however, any edits to it will get removed if the file is opened in a newer version of Excel. Learn more: https://go.microsoft.com/fwlink/?linkid=870924
Comment:
    Catalog duplicate — the visible sheet routes melee weapon attacks through action_basic_weapon. This legacy entity was not independently addressable; canonical melee attack passed in sheet and combat.</x:t>
        </x:r>
      </x:text>
    </x:comment>
    <x:comment ref="K12" authorId="17">
      <x:text>
        <x:r>
          <x:t>[Threaded comment]
Your version of Excel allows you to read this threaded comment; however, any edits to it will get removed if the file is opened in a newer version of Excel. Learn more: https://go.microsoft.com/fwlink/?linkid=870924
Comment:
    Catalog duplicate — the visible sheet routes unarmed use through action_basic_unarmed. This legacy entity was not independently addressable; canonical damage/Shove behavior passed.</x:t>
        </x:r>
      </x:text>
    </x:comment>
    <x:comment ref="K14" authorId="18">
      <x:text>
        <x:r>
          <x:t>[Threaded comment]
Your version of Excel allows you to read this threaded comment; however, any edits to it will get removed if the file is opened in a newer version of Excel. Learn more: https://go.microsoft.com/fwlink/?linkid=870924
Comment:
    Sheet catalog/clarity PARTIAL — full description is visible only after enabling uncertified entities. Attaching it to the retained Bard stalled the page request twice, so consumption and forced-natural-20 behavior are not claimed as passed.</x:t>
        </x:r>
      </x:text>
    </x:comment>
    <x:comment ref="K15" authorId="19">
      <x:text>
        <x:r>
          <x:t>[Threaded comment]
Your version of Excel allows you to read this threaded comment; however, any edits to it will get removed if the file is opened in a newer version of Excel. Learn more: https://go.microsoft.com/fwlink/?linkid=870924
Comment:
    Sheet/combat/clarity PASS — Short Bow at 321 ft was rejected with the visible 320-ft maximum; at 80 ft it resolved 6+2 DEX+2 proficiency=10 vs AC10, dealt 4, spent action and one arrow.</x:t>
        </x:r>
      </x:text>
    </x:comment>
    <x:comment ref="K16" authorId="20">
      <x:text>
        <x:r>
          <x:t>[Threaded comment]
Your version of Excel allows you to read this threaded comment; however, any edits to it will get removed if the file is opened in a newer version of Excel. Learn more: https://go.microsoft.com/fwlink/?linkid=870924
Comment:
    Combat/clarity PASS — Goblin Minion used Dagger, spent its action, resolved attack and piercing damage against the named target, and persisted the HP/journal result.</x:t>
        </x:r>
      </x:text>
    </x:comment>
    <x:comment ref="K17" authorId="21">
      <x:text>
        <x:r>
          <x:t>[Threaded comment]
Your version of Excel allows you to read this threaded comment; however, any edits to it will get removed if the file is opened in a newer version of Excel. Learn more: https://go.microsoft.com/fwlink/?linkid=870924
Comment:
    Sheet/combat/clarity PASS — Disengage spent action, produced a visible until-next-turn effect, and the effect text explains that movement does not provoke opportunity attacks.</x:t>
        </x:r>
      </x:text>
    </x:comment>
    <x:comment ref="K18" authorId="22">
      <x:text>
        <x:r>
          <x:t>[Threaded comment]
Your version of Excel allows you to read this threaded comment; however, any edits to it will get removed if the file is opened in a newer version of Excel. Learn more: https://go.microsoft.com/fwlink/?linkid=870924
Comment:
    Sheet/combat/clarity PASS — Help offered assist/wake/stabilize choices. Assist spent the source action and the ally received a visible d6 Help token with explicit manual-use and removal instructions.</x:t>
        </x:r>
      </x:text>
    </x:comment>
    <x:comment ref="K19" authorId="23">
      <x:text>
        <x:r>
          <x:t>[Threaded comment]
Your version of Excel allows you to read this threaded comment; however, any edits to it will get removed if the file is opened in a newer version of Excel. Learn more: https://go.microsoft.com/fwlink/?linkid=870924
Comment:
    Sheet/combat/clarity PASS — equipped melee weapon attack used the weapon profile, resolved attack vs AC and damage, spent action, and showed source, target, roll and outcome.</x:t>
        </x:r>
      </x:text>
    </x:comment>
    <x:comment ref="K20" authorId="24">
      <x:text>
        <x:r>
          <x:t>[Threaded comment]
Your version of Excel allows you to read this threaded comment; however, any edits to it will get removed if the file is opened in a newer version of Excel. Learn more: https://go.microsoft.com/fwlink/?linkid=870924
Comment:
    Sheet/combat/clarity PASS — Dash spent action, raised movement 30→60, displayed an active effect, and expired at the next turn with speed restored.</x:t>
        </x:r>
      </x:text>
    </x:comment>
    <x:comment ref="K22" authorId="25">
      <x:text>
        <x:r>
          <x:t>[Threaded comment]
Your version of Excel allows you to read this threaded comment; however, any edits to it will get removed if the file is opened in a newer version of Excel. Learn more: https://go.microsoft.com/fwlink/?linkid=870924
Comment:
    Combat/clarity PASS after fix — Shove failure branch clearly showed target save and 5-ft result; token moved exactly one square away and remained after reload. The pre-fix journal-only movement defect was repaired in ca40a0d.</x:t>
        </x:r>
      </x:text>
    </x:comment>
    <x:comment ref="K23" authorId="26">
      <x:text>
        <x:r>
          <x:t>[Threaded comment]
Your version of Excel allows you to read this threaded comment; however, any edits to it will get removed if the file is opened in a newer version of Excel. Learn more: https://go.microsoft.com/fwlink/?linkid=870924
Comment:
    Sheet/combat/clarity PASS — Dodge spent action and showed an until-next-turn effect whose text explains disadvantage on attacks against the user and advantage on DEX saves.</x:t>
        </x:r>
      </x:text>
    </x:comment>
    <x:comment ref="K24" authorId="27">
      <x:text>
        <x:r>
          <x:t>[Threaded comment]
Your version of Excel allows you to read this threaded comment; however, any edits to it will get removed if the file is opened in a newer version of Excel. Learn more: https://go.microsoft.com/fwlink/?linkid=870924
Comment:
    Catalog duplicate — the sheet exposes action_basic_dodge, while this legacy action is shadowed. Canonical Dodge passed but this entity was not independently addressable in the browser.</x:t>
        </x:r>
      </x:text>
    </x:comment>
    <x:comment ref="K25" authorId="28">
      <x:text>
        <x:r>
          <x:t>[Threaded comment]
Your version of Excel allows you to read this threaded comment; however, any edits to it will get removed if the file is opened in a newer version of Excel. Learn more: https://go.microsoft.com/fwlink/?linkid=870924
Comment:
    Combat/clarity PASS — Wolf Bite spent action, resolved 14+2 STR=16 vs AC12 and 6 piercing damage, named source/target, and opened the matching reaction window.</x:t>
        </x:r>
      </x:text>
    </x:comment>
    <x:comment ref="K26" authorId="29">
      <x:text>
        <x:r>
          <x:t>[Threaded comment]
Your version of Excel allows you to read this threaded comment; however, any edits to it will get removed if the file is opened in a newer version of Excel. Learn more: https://go.microsoft.com/fwlink/?linkid=870924
Comment:
    Sheet/clarity PASS — condition can be applied and its card explains incapacitation, prone, speed 0, STR/DEX auto-fail and adjacent criticals. Combat consequences were not exercised end-to-end.</x:t>
        </x:r>
      </x:text>
    </x:comment>
    <x:comment ref="K27" authorId="30">
      <x:text>
        <x:r>
          <x:t>[Threaded comment]
Your version of Excel allows you to read this threaded comment; however, any edits to it will get removed if the file is opened in a newer version of Excel. Learn more: https://go.microsoft.com/fwlink/?linkid=870924
Comment:
    Sheet/clarity PASS — source actor is explicitly required and the card explains disadvantage while the source is visible plus the movement restriction. Source-bound combat behavior remains pending.</x:t>
        </x:r>
      </x:text>
    </x:comment>
    <x:comment ref="K28" authorId="31">
      <x:text>
        <x:r>
          <x:t>[Threaded comment]
Your version of Excel allows you to read this threaded comment; however, any edits to it will get removed if the file is opened in a newer version of Excel. Learn more: https://go.microsoft.com/fwlink/?linkid=870924
Comment:
    Sheet/clarity PASS — levels and effects are visible and understandable. Accumulation, d20 penalty, speed loss, death at 6 and long-rest decrement were not all exercised in combat.</x:t>
        </x:r>
      </x:text>
    </x:comment>
    <x:comment ref="K29" authorId="32">
      <x:text>
        <x:r>
          <x:t>[Threaded comment]
Your version of Excel allows you to read this threaded comment; however, any edits to it will get removed if the file is opened in a newer version of Excel. Learn more: https://go.microsoft.com/fwlink/?linkid=870924
Comment:
    Sheet/clarity PASS — condition and visibility/attack text are shown. Initiative advantage, cannot-be-seen targeting and attack modifiers remain pending in combat.</x:t>
        </x:r>
      </x:text>
    </x:comment>
    <x:comment ref="K30" authorId="33">
      <x:text>
        <x:r>
          <x:t>[Threaded comment]
Your version of Excel allows you to read this threaded comment; however, any edits to it will get removed if the file is opened in a newer version of Excel. Learn more: https://go.microsoft.com/fwlink/?linkid=870924
Comment:
    Sheet/combat/clarity PASS after fix — Incapacitated disables action, bonus action and reaction and clearly explains the restriction. It now ends self concentration atomically; Detect Magic stayed absent after reload. Fixed in 68c4c18.</x:t>
        </x:r>
      </x:text>
    </x:comment>
    <x:comment ref="K31" authorId="34">
      <x:text>
        <x:r>
          <x:t>[Threaded comment]
Your version of Excel allows you to read this threaded comment; however, any edits to it will get removed if the file is opened in a newer version of Excel. Learn more: https://go.microsoft.com/fwlink/?linkid=870924
Comment:
    Sheet/clarity PASS — condition and automatic failure of hearing-dependent checks are clear. A hearing-tagged check was not available for a browser combat proof.</x:t>
        </x:r>
      </x:text>
    </x:comment>
    <x:comment ref="K32" authorId="35">
      <x:text>
        <x:r>
          <x:t>[Threaded comment]
Your version of Excel allows you to read this threaded comment; however, any edits to it will get removed if the file is opened in a newer version of Excel. Learn more: https://go.microsoft.com/fwlink/?linkid=870924
Comment:
    Sheet/clarity PASS — the card clearly lists speed 0, incapacitation, attack/save modifiers, damage resistance and poison immunity. Full combat consequence matrix remains pending.</x:t>
        </x:r>
      </x:text>
    </x:comment>
    <x:comment ref="K33" authorId="36">
      <x:text>
        <x:r>
          <x:t>[Threaded comment]
Your version of Excel allows you to read this threaded comment; however, any edits to it will get removed if the file is opened in a newer version of Excel. Learn more: https://go.microsoft.com/fwlink/?linkid=870924
Comment:
    Sheet/clarity PASS — speed 0 plus attack/DEX-save modifiers are visible. Movement denial and both roll directions were not exercised in combat.</x:t>
        </x:r>
      </x:text>
    </x:comment>
    <x:comment ref="K34" authorId="37">
      <x:text>
        <x:r>
          <x:t>[Threaded comment]
Your version of Excel allows you to read this threaded comment; however, any edits to it will get removed if the file is opened in a newer version of Excel. Learn more: https://go.microsoft.com/fwlink/?linkid=870924
Comment:
    Sheet/clarity PASS — sight auto-fail and attack modifiers are understandable. A sight-tagged check and both attack directions remain pending in combat.</x:t>
        </x:r>
      </x:text>
    </x:comment>
    <x:comment ref="K35" authorId="38">
      <x:text>
        <x:r>
          <x:t>[Threaded comment]
Your version of Excel allows you to read this threaded comment; however, any edits to it will get removed if the file is opened in a newer version of Excel. Learn more: https://go.microsoft.com/fwlink/?linkid=870924
Comment:
    Sheet/combat/clarity PASS — Ray of Sickness applied Poisoned, the target inspector localized and explained disadvantage, Dwarf save advantage was visible, and the effect persisted/expired at the stated lifecycle boundary.</x:t>
        </x:r>
      </x:text>
    </x:comment>
    <x:comment ref="K36" authorId="39">
      <x:text>
        <x:r>
          <x:t>[Threaded comment]
Your version of Excel allows you to read this threaded comment; however, any edits to it will get removed if the file is opened in a newer version of Excel. Learn more: https://go.microsoft.com/fwlink/?linkid=870924
Comment:
    Sheet/clarity PASS — source actor is explicitly required and the card explains harm denial and source social advantage. Source-bound targeting denial remains pending in combat.</x:t>
        </x:r>
      </x:text>
    </x:comment>
    <x:comment ref="K37" authorId="40">
      <x:text>
        <x:r>
          <x:t>[Threaded comment]
Your version of Excel allows you to read this threaded comment; however, any edits to it will get removed if the file is opened in a newer version of Excel. Learn more: https://go.microsoft.com/fwlink/?linkid=870924
Comment:
    Sheet/clarity PASS — incapacitation, STR/DEX auto-fail and attack advantage are visible. Those derived effects were not all exercised in combat.</x:t>
        </x:r>
      </x:text>
    </x:comment>
    <x:comment ref="K38" authorId="41">
      <x:text>
        <x:r>
          <x:t>[Threaded comment]
Your version of Excel allows you to read this threaded comment; however, any edits to it will get removed if the file is opened in a newer version of Excel. Learn more: https://go.microsoft.com/fwlink/?linkid=870924
Comment:
    Sheet/clarity PASS — incapacitation, speed 0, save auto-fail, attack advantage and adjacent critical text are visible. Full combat consequence matrix remains pending.</x:t>
        </x:r>
      </x:text>
    </x:comment>
    <x:comment ref="K39" authorId="42">
      <x:text>
        <x:r>
          <x:t>[Threaded comment]
Your version of Excel allows you to read this threaded comment; however, any edits to it will get removed if the file is opened in a newer version of Excel. Learn more: https://go.microsoft.com/fwlink/?linkid=870924
Comment:
    Sheet/clarity PASS — crawl/stand cost and near/far attack modifiers are clear. Shove push passed, but the prone choice and stand-up lifecycle were not exercised in combat.</x:t>
        </x:r>
      </x:text>
    </x:comment>
    <x:comment ref="K40" authorId="43">
      <x:text>
        <x:r>
          <x:t>[Threaded comment]
Your version of Excel allows you to read this threaded comment; however, any edits to it will get removed if the file is opened in a newer version of Excel. Learn more: https://go.microsoft.com/fwlink/?linkid=870924
Comment:
    Sheet/clarity PASS — source actor is explicitly required and speed 0/attack restriction/dragging text are visible. Source-bound movement and targeting behavior remains pending.</x:t>
        </x:r>
      </x:text>
    </x:comment>
    <x:comment ref="K47" authorId="44">
      <x:text>
        <x:r>
          <x:t>[Threaded comment]
Your version of Excel allows you to read this threaded comment; however, any edits to it will get removed if the file is opened in a newer version of Excel. Learn more: https://go.microsoft.com/fwlink/?linkid=870924
Comment:
    Sheet/combat/clarity PARTIAL — concentration starts, displays, refreshes and is now ended by Incapacitated with cleanup and reload persistence. The damage-triggered concentration save path still needs a retained browser combat proof.</x:t>
        </x:r>
      </x:text>
    </x:comment>
    <x:comment ref="K49" authorId="45">
      <x:text>
        <x:r>
          <x:t>[Threaded comment]
Your version of Excel allows you to read this threaded comment; however, any edits to it will get removed if the file is opened in a newer version of Excel. Learn more: https://go.microsoft.com/fwlink/?linkid=870924
Comment:
    Combat/clarity PARTIAL — maximum range rejection (321&gt;320), valid 80-ft targeting, relation and target count passed with clear messages. The tactical test board has no obstacles, so a negative line-of-sight case remains pending.</x:t>
        </x:r>
      </x:text>
    </x:comment>
  </x:commentList>
</x:comments>
</file>

<file path=xl/comments6.xml><?xml version="1.0" encoding="utf-8"?>
<x:comments xmlns:x="http://schemas.openxmlformats.org/spreadsheetml/2006/main">
  <x:authors>
    <x:author>tc={0F894BC8-6DCA-437D-9B26-662569CF9824}</x:author>
    <x:author>tc={3DC21396-F749-4918-90C5-451B4006946E}</x:author>
    <x:author>tc={6E8DAFA8-AA12-4323-8A07-F7D18060EE8A}</x:author>
    <x:author>tc={6BA38463-4E33-4944-8167-F389000B41F6}</x:author>
    <x:author>tc={6556E74E-F154-4F9B-8337-1BBEE66E7250}</x:author>
    <x:author>tc={013BAB0B-30E2-48F9-80CA-1653AF3FB299}</x:author>
    <x:author>tc={59AA5BF0-7F9E-4FFD-BF2F-6845411A948B}</x:author>
    <x:author>tc={B0EA525F-332B-4120-A075-0FE0656DE053}</x:author>
    <x:author>tc={E4384F7C-0C43-44EC-90AD-ADDD9847F2C3}</x:author>
    <x:author>tc={23CEC0E1-B936-44C3-9D0A-7F80A1DEEC3A}</x:author>
    <x:author>tc={6855CA38-87E5-4745-829F-2F62FF18F2C8}</x:author>
    <x:author>tc={A745033B-652A-4877-8512-28DD36A63E92}</x:author>
    <x:author>tc={078BF046-AA28-45ED-A839-870DF0DD971B}</x:author>
    <x:author>tc={FA6E0364-8EDE-4453-837E-B1D8949A635A}</x:author>
    <x:author>tc={359B3D08-5F1D-4999-A51A-8873555EF678}</x:author>
    <x:author>tc={D8E4808D-AA94-448A-A14A-E56D386E76F6}</x:author>
  </x:authors>
  <x:commentList>
    <x:comment ref="N5" authorId="0">
      <x:text>
        <x:r>
          <x:t>[Threaded comment]
Your version of Excel allows you to read this threaded comment; however, any edits to it will get removed if the file is opened in a newer version of Excel. Learn more: https://go.microsoft.com/fwlink/?linkid=870924
Comment:
    PASS — Forge: selected Артист, completed the build and retained character bee61bb3-6047-4c51-a7d5-beabf7be9837.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6" authorId="1">
      <x:text>
        <x:r>
          <x:t>[Threaded comment]
Your version of Excel allows you to read this threaded comment; however, any edits to it will get removed if the file is opened in a newer version of Excel. Learn more: https://go.microsoft.com/fwlink/?linkid=870924
Comment:
    PASS — Forge: selected Благородный, completed the build and retained character c3674e4e-6f9e-45f5-a93b-b8753e1eaab6.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7" authorId="2">
      <x:text>
        <x:r>
          <x:t>[Threaded comment]
Your version of Excel allows you to read this threaded comment; however, any edits to it will get removed if the file is opened in a newer version of Excel. Learn more: https://go.microsoft.com/fwlink/?linkid=870924
Comment:
    PASS — Forge: selected Бродяга, completed the build and retained character d35cb709-898b-4bbe-9666-7d231c0ebad6.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8" authorId="3">
      <x:text>
        <x:r>
          <x:t>[Threaded comment]
Your version of Excel allows you to read this threaded comment; however, any edits to it will get removed if the file is opened in a newer version of Excel. Learn more: https://go.microsoft.com/fwlink/?linkid=870924
Comment:
    PASS — Forge: selected Моряк, completed the build and retained character 0fdc8692-d722-4080-9ebc-47a32891e5bd.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9" authorId="4">
      <x:text>
        <x:r>
          <x:t>[Threaded comment]
Your version of Excel allows you to read this threaded comment; however, any edits to it will get removed if the file is opened in a newer version of Excel. Learn more: https://go.microsoft.com/fwlink/?linkid=870924
Comment:
    PASS — Forge: selected Мудрец, completed the build and retained character 2e72aa22-e889-4e41-81e6-76080d2a75e2.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0" authorId="5">
      <x:text>
        <x:r>
          <x:t>[Threaded comment]
Your version of Excel allows you to read this threaded comment; however, any edits to it will get removed if the file is opened in a newer version of Excel. Learn more: https://go.microsoft.com/fwlink/?linkid=870924
Comment:
    PASS — Forge: selected Отшельник, completed the build and retained character 54b1ccd2-83f6-439e-bd85-1725bb713810.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1" authorId="6">
      <x:text>
        <x:r>
          <x:t>[Threaded comment]
Your version of Excel allows you to read this threaded comment; however, any edits to it will get removed if the file is opened in a newer version of Excel. Learn more: https://go.microsoft.com/fwlink/?linkid=870924
Comment:
    PASS — Forge: selected Писарь, completed the build and retained character 32c72e48-a920-452d-8f21-cb71bc945362.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2" authorId="7">
      <x:text>
        <x:r>
          <x:t>[Threaded comment]
Your version of Excel allows you to read this threaded comment; however, any edits to it will get removed if the file is opened in a newer version of Excel. Learn more: https://go.microsoft.com/fwlink/?linkid=870924
Comment:
    PASS — Forge: selected Преступник, completed the build and retained character c501669d-4c1a-4bf8-9245-8277b7472700.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3" authorId="8">
      <x:text>
        <x:r>
          <x:t>[Threaded comment]
Your version of Excel allows you to read this threaded comment; however, any edits to it will get removed if the file is opened in a newer version of Excel. Learn more: https://go.microsoft.com/fwlink/?linkid=870924
Comment:
    PASS — Forge: selected Прислужник, completed the build and retained character a5a4a6f7-253c-405e-bdde-89e95e10564a.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4" authorId="9">
      <x:text>
        <x:r>
          <x:t>[Threaded comment]
Your version of Excel allows you to read this threaded comment; however, any edits to it will get removed if the file is opened in a newer version of Excel. Learn more: https://go.microsoft.com/fwlink/?linkid=870924
Comment:
    PASS — Forge: selected Проводник, completed the build and retained character ae8f3549-97a5-4c9d-b1e6-0b169d06d310.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5" authorId="10">
      <x:text>
        <x:r>
          <x:t>[Threaded comment]
Your version of Excel allows you to read this threaded comment; however, any edits to it will get removed if the file is opened in a newer version of Excel. Learn more: https://go.microsoft.com/fwlink/?linkid=870924
Comment:
    PASS — Forge: selected Ремесленник, completed the build and retained character caa84d74-f90b-47f5-9490-bc1d77b26da0.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6" authorId="11">
      <x:text>
        <x:r>
          <x:t>[Threaded comment]
Your version of Excel allows you to read this threaded comment; however, any edits to it will get removed if the file is opened in a newer version of Excel. Learn more: https://go.microsoft.com/fwlink/?linkid=870924
Comment:
    PASS — Forge: selected Солдат, completed the build and retained character 84e8c110-bbba-41be-85ef-9165c376d746.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7" authorId="12">
      <x:text>
        <x:r>
          <x:t>[Threaded comment]
Your version of Excel allows you to read this threaded comment; however, any edits to it will get removed if the file is opened in a newer version of Excel. Learn more: https://go.microsoft.com/fwlink/?linkid=870924
Comment:
    PASS — Forge: selected Стражник, completed the build and retained character 2e7c2af9-ed97-4383-b7fe-fadd916eb7b3.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8" authorId="13">
      <x:text>
        <x:r>
          <x:t>[Threaded comment]
Your version of Excel allows you to read this threaded comment; however, any edits to it will get removed if the file is opened in a newer version of Excel. Learn more: https://go.microsoft.com/fwlink/?linkid=870924
Comment:
    PASS — Forge: selected Торговец, completed the build and retained character 553187f0-8624-4541-b039-4e0d7618bd44.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19" authorId="14">
      <x:text>
        <x:r>
          <x:t>[Threaded comment]
Your version of Excel allows you to read this threaded comment; however, any edits to it will get removed if the file is opened in a newer version of Excel. Learn more: https://go.microsoft.com/fwlink/?linkid=870924
Comment:
    PASS — Forge: selected Фермер, completed the build and retained character 18cb9b1a-1cf7-436e-960a-9f3a669e4c0d.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 ref="N20" authorId="15">
      <x:text>
        <x:r>
          <x:t>[Threaded comment]
Your version of Excel allows you to read this threaded comment; however, any edits to it will get removed if the file is opened in a newer version of Excel. Learn more: https://go.microsoft.com/fwlink/?linkid=870924
Comment:
    PASS — Forge: selected Шарлатан, completed the build and retained character 97e75249-df39-419a-9363-d9d842150147.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8"/>
      <x:color rgb="FFFFFFFF"/>
      <x:name val="Carlito"/>
    </x:font>
    <x:font>
      <x:i/>
      <x:sz val="10"/>
      <x:color rgb="FF1F2937"/>
      <x:name val="Carlito"/>
    </x:font>
    <x:font>
      <x:b/>
      <x:sz val="11"/>
      <x:color rgb="FF1F2937"/>
      <x:name val="Carlito"/>
    </x:font>
    <x:font>
      <x:b/>
      <x:sz val="11"/>
      <x:color rgb="FFFFFFFF"/>
      <x:name val="Carlito"/>
    </x:font>
    <x:font>
      <x:sz val="10"/>
      <x:color rgb="FF1F2937"/>
      <x:name val="Carlito"/>
    </x:font>
    <x:font>
      <x:sz val="10"/>
      <x:color rgb="FF166534"/>
      <x:name val="Carlito"/>
    </x:font>
    <x:font>
      <x:sz val="10"/>
      <x:color rgb="FF854D0E"/>
      <x:name val="Carlito"/>
    </x:font>
    <x:font>
      <x:sz val="10"/>
      <x:color rgb="FF991B1B"/>
      <x:name val="Carlito"/>
    </x:font>
    <x:font>
      <x:b/>
      <x:sz val="16"/>
      <x:color rgb="FFFFFFFF"/>
      <x:name val="Carlito"/>
    </x:font>
    <x:font>
      <x:i/>
      <x:sz val="10"/>
      <x:color rgb="FF27445D"/>
      <x:name val="Carlito"/>
    </x:font>
    <x:font>
      <x:b/>
      <x:sz val="10"/>
      <x:color rgb="FF17324D"/>
      <x:name val="Carlito"/>
    </x:font>
    <x:font>
      <x:b/>
      <x:sz val="10"/>
      <x:color rgb="FFFFFFFF"/>
      <x:name val="Carlito"/>
    </x:font>
    <x:font>
      <x:b/>
      <x:sz val="10"/>
      <x:color rgb="FF1F2937"/>
      <x:name val="Carlito"/>
    </x:font>
  </x:fonts>
  <x:fills count="26">
    <x:fill>
      <x:patternFill patternType="none"/>
    </x:fill>
    <x:fill>
      <x:patternFill patternType="gray125"/>
    </x:fill>
    <x:fill>
      <x:patternFill patternType="solid">
        <x:fgColor rgb="FF17223B"/>
      </x:patternFill>
    </x:fill>
    <x:fill>
      <x:patternFill patternType="solid">
        <x:fgColor rgb="FFD9F0EC"/>
      </x:patternFill>
    </x:fill>
    <x:fill>
      <x:patternFill patternType="solid">
        <x:fgColor rgb="FFF6F8FB"/>
      </x:patternFill>
    </x:fill>
    <x:fill>
      <x:patternFill patternType="solid">
        <x:fgColor rgb="FF0F766E"/>
      </x:patternFill>
    </x:fill>
    <x:fill>
      <x:patternFill patternType="solid">
        <x:fgColor rgb="FFDDF4E4"/>
      </x:patternFill>
    </x:fill>
    <x:fill>
      <x:patternFill patternType="solid">
        <x:fgColor rgb="FFFFF5C2"/>
      </x:patternFill>
    </x:fill>
    <x:fill>
      <x:patternFill patternType="solid">
        <x:fgColor rgb="FFFFF5C2"/>
      </x:patternFill>
    </x:fill>
    <x:fill>
      <x:patternFill patternType="solid">
        <x:fgColor rgb="FFFEE2E2"/>
      </x:patternFill>
    </x:fill>
    <x:fill>
      <x:patternFill patternType="solid">
        <x:fgColor rgb="FFDDF4E4"/>
      </x:patternFill>
    </x:fill>
    <x:fill>
      <x:patternFill patternType="solid">
        <x:fgColor rgb="FFFFF5C2"/>
      </x:patternFill>
    </x:fill>
    <x:fill>
      <x:patternFill patternType="solid">
        <x:fgColor rgb="FFFEE2E2"/>
      </x:patternFill>
    </x:fill>
    <x:fill>
      <x:patternFill patternType="solid">
        <x:fgColor rgb="FFDDF4E4"/>
      </x:patternFill>
    </x:fill>
    <x:fill>
      <x:patternFill patternType="solid">
        <x:fgColor rgb="FFDDF4E4"/>
      </x:patternFill>
    </x:fill>
    <x:fill>
      <x:patternFill patternType="solid">
        <x:fgColor rgb="FFDDF4E4"/>
      </x:patternFill>
    </x:fill>
    <x:fill>
      <x:patternFill patternType="solid">
        <x:fgColor rgb="FFDDF4E4"/>
      </x:patternFill>
    </x:fill>
    <x:fill>
      <x:patternFill patternType="solid">
        <x:fgColor rgb="FF17324D"/>
      </x:patternFill>
    </x:fill>
    <x:fill>
      <x:patternFill patternType="solid">
        <x:fgColor rgb="FFE8F0F7"/>
      </x:patternFill>
    </x:fill>
    <x:fill>
      <x:patternFill patternType="solid">
        <x:fgColor rgb="FFF4F7FA"/>
      </x:patternFill>
    </x:fill>
    <x:fill>
      <x:patternFill patternType="solid">
        <x:fgColor rgb="FF315E7D"/>
      </x:patternFill>
    </x:fill>
    <x:fill>
      <x:patternFill patternType="solid">
        <x:fgColor rgb="FFDDF4E4"/>
      </x:patternFill>
    </x:fill>
    <x:fill>
      <x:patternFill patternType="solid">
        <x:fgColor rgb="FF17324D"/>
      </x:patternFill>
    </x:fill>
    <x:fill>
      <x:patternFill patternType="solid">
        <x:fgColor rgb="FFE8F0F7"/>
      </x:patternFill>
    </x:fill>
    <x:fill>
      <x:patternFill patternType="solid">
        <x:fgColor rgb="FFF4F7FA"/>
      </x:patternFill>
    </x:fill>
    <x:fill>
      <x:patternFill patternType="solid">
        <x:fgColor rgb="FF315E7D"/>
      </x:patternFill>
    </x:fill>
  </x:fills>
  <x:borders count="2">
    <x:border/>
    <x:border>
      <x:left style="thin">
        <x:color rgb="FFD7DEE8"/>
      </x:left>
      <x:right style="thin">
        <x:color rgb="FFD7DEE8"/>
      </x:right>
      <x:top style="thin">
        <x:color rgb="FFD7DEE8"/>
      </x:top>
      <x:bottom style="thin">
        <x:color rgb="FFD7DEE8"/>
      </x:bottom>
    </x:border>
  </x:borders>
  <x:cellStyleXfs count="1">
    <x:xf numFmtId="0" fontId="0" fillId="0" borderId="0"/>
  </x:cellStyleXfs>
  <x:cellXfs count="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8" fillId="9" borderId="1" xfId="0" applyNumberFormat="1" applyFont="1" applyFill="1" applyBorder="1" applyAlignment="1">
      <x:alignment vertical="top" wrapText="1"/>
    </x:xf>
    <x:xf numFmtId="0" fontId="5" fillId="10" borderId="1"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7" fillId="11" borderId="1" xfId="0" applyNumberFormat="1" applyFont="1" applyFill="1" applyBorder="1" applyAlignment="1">
      <x:alignment vertical="top" wrapText="1"/>
    </x:xf>
    <x:xf numFmtId="0" fontId="8" fillId="12" borderId="1" xfId="0" applyNumberFormat="1" applyFont="1" applyFill="1" applyBorder="1" applyAlignment="1">
      <x:alignment vertical="top" wrapText="1"/>
    </x:xf>
    <x:xf numFmtId="0" fontId="6" fillId="13" borderId="1" xfId="0" applyNumberFormat="1" applyFont="1" applyFill="1" applyBorder="1" applyAlignment="1">
      <x:alignment vertical="top" wrapText="1"/>
    </x:xf>
    <x:xf numFmtId="0" fontId="7" fillId="13" borderId="1" xfId="0" applyNumberFormat="1" applyFont="1" applyFill="1" applyBorder="1" applyAlignment="1">
      <x:alignment vertical="top" wrapText="1"/>
    </x:xf>
    <x:xf numFmtId="0" fontId="8" fillId="13" borderId="1"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5" fillId="14" borderId="1" xfId="0" applyNumberFormat="1" applyFont="1" applyFill="1" applyBorder="1" applyAlignment="1">
      <x:alignment vertical="top" wrapText="1"/>
    </x:xf>
    <x:xf numFmtId="0" fontId="6" fillId="14" borderId="1" xfId="0" applyNumberFormat="1" applyFont="1" applyFill="1" applyBorder="1" applyAlignment="1">
      <x:alignment vertical="top" wrapText="1"/>
    </x:xf>
    <x:xf numFmtId="0" fontId="6" fillId="15" borderId="1" xfId="0" applyNumberFormat="1" applyFont="1" applyFill="1" applyBorder="1" applyAlignment="1">
      <x:alignment vertical="top" wrapText="1"/>
    </x:xf>
    <x:xf numFmtId="0" fontId="5" fillId="16" borderId="1" xfId="0" applyNumberFormat="1" applyFont="1" applyFill="1" applyBorder="1" applyAlignment="1">
      <x:alignment vertical="top" wrapText="1"/>
    </x:xf>
    <x:xf numFmtId="0" fontId="6" fillId="16" borderId="1" xfId="0" applyNumberFormat="1" applyFont="1" applyFill="1" applyBorder="1" applyAlignment="1">
      <x:alignment vertical="top" wrapText="1"/>
    </x:xf>
    <x:xf numFmtId="0" fontId="5" fillId="0" borderId="0" xfId="0" applyNumberFormat="1" applyFont="1" applyFill="1" applyBorder="1" applyAlignment="1">
      <x:alignment vertical="top"/>
    </x:xf>
    <x:xf numFmtId="0" fontId="5" fillId="17" borderId="0"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18" borderId="0" xfId="0" applyNumberFormat="1" applyFont="1" applyFill="1" applyBorder="1" applyAlignment="1">
      <x:alignment vertical="top" wrapText="1"/>
    </x:xf>
    <x:xf numFmtId="0" fontId="10" fillId="18" borderId="0" xfId="0" applyNumberFormat="1" applyFont="1" applyFill="1" applyBorder="1" applyAlignment="1">
      <x:alignment vertical="top" wrapText="1"/>
    </x:xf>
    <x:xf numFmtId="0" fontId="5" fillId="19" borderId="0" xfId="0" applyNumberFormat="1" applyFont="1" applyFill="1" applyBorder="1" applyAlignment="1">
      <x:alignment vertical="top" wrapText="1"/>
    </x:xf>
    <x:xf numFmtId="0" fontId="11" fillId="19" borderId="0" xfId="0" applyNumberFormat="1" applyFont="1" applyFill="1" applyBorder="1" applyAlignment="1">
      <x:alignment vertical="top" wrapText="1"/>
    </x:xf>
    <x:xf numFmtId="0" fontId="5" fillId="20" borderId="0" xfId="0" applyNumberFormat="1" applyFont="1" applyFill="1" applyBorder="1" applyAlignment="1">
      <x:alignment vertical="top" wrapText="1"/>
    </x:xf>
    <x:xf numFmtId="0" fontId="12" fillId="20"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6" fillId="21" borderId="1" xfId="0" applyNumberFormat="1" applyFont="1" applyFill="1" applyBorder="1" applyAlignment="1">
      <x:alignment vertical="top" wrapText="1"/>
    </x:xf>
    <x:xf numFmtId="0" fontId="13" fillId="17" borderId="0" xfId="0" applyNumberFormat="1" applyFont="1" applyFill="1" applyBorder="1" applyAlignment="1">
      <x:alignment vertical="top" wrapText="1"/>
    </x:xf>
    <x:xf numFmtId="0" fontId="2" fillId="18" borderId="0" xfId="0" applyNumberFormat="1" applyFont="1" applyFill="1" applyBorder="1" applyAlignment="1">
      <x:alignment vertical="top" wrapText="1"/>
    </x:xf>
    <x:xf numFmtId="0" fontId="13" fillId="19" borderId="0" xfId="0" applyNumberFormat="1" applyFont="1" applyFill="1" applyBorder="1" applyAlignment="1">
      <x:alignment vertical="top" wrapText="1"/>
    </x:xf>
    <x:xf numFmtId="0" fontId="13" fillId="20"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13" fillId="22" borderId="0" xfId="0" applyNumberFormat="1" applyFont="1" applyFill="1" applyBorder="1" applyAlignment="1">
      <x:alignment vertical="top" wrapText="1"/>
    </x:xf>
    <x:xf numFmtId="0" fontId="9" fillId="22" borderId="0" xfId="0" applyNumberFormat="1" applyFont="1" applyFill="1" applyBorder="1" applyAlignment="1">
      <x:alignment vertical="top" wrapText="1"/>
    </x:xf>
    <x:xf numFmtId="0" fontId="2" fillId="23" borderId="0" xfId="0" applyNumberFormat="1" applyFont="1" applyFill="1" applyBorder="1" applyAlignment="1">
      <x:alignment vertical="top" wrapText="1"/>
    </x:xf>
    <x:xf numFmtId="0" fontId="10" fillId="23" borderId="0" xfId="0" applyNumberFormat="1" applyFont="1" applyFill="1" applyBorder="1" applyAlignment="1">
      <x:alignment vertical="top" wrapText="1"/>
    </x:xf>
    <x:xf numFmtId="0" fontId="13" fillId="24" borderId="0" xfId="0" applyNumberFormat="1" applyFont="1" applyFill="1" applyBorder="1" applyAlignment="1">
      <x:alignment vertical="top" wrapText="1"/>
    </x:xf>
    <x:xf numFmtId="0" fontId="11" fillId="24" borderId="0" xfId="0" applyNumberFormat="1" applyFont="1" applyFill="1" applyBorder="1" applyAlignment="1">
      <x:alignment vertical="top" wrapText="1"/>
    </x:xf>
    <x:xf numFmtId="0" fontId="13" fillId="25" borderId="0" xfId="0" applyNumberFormat="1" applyFont="1" applyFill="1" applyBorder="1" applyAlignment="1">
      <x:alignment vertical="top" wrapText="1"/>
    </x:xf>
    <x:xf numFmtId="0" fontId="12" fillId="25" borderId="0" xfId="0" applyNumberFormat="1" applyFont="1" applyFill="1" applyBorder="1" applyAlignment="1">
      <x:alignment vertical="top" wrapText="1"/>
    </x:xf>
    <x:xf numFmtId="0" fontId="5" fillId="21" borderId="0" xfId="0" applyNumberFormat="1" applyFont="1" applyFill="1" applyBorder="1" applyAlignment="1">
      <x:alignment vertical="top" wrapText="1"/>
    </x:xf>
    <x:xf numFmtId="0" fontId="6" fillId="21" borderId="0" xfId="0" applyNumberFormat="1" applyFont="1" applyFill="1" applyBorder="1" applyAlignment="1">
      <x:alignment vertical="top" wrapText="1"/>
    </x:xf>
  </x:cellXfs>
  <x:cellStyles count="1">
    <x:cellStyle name="Normal" xfId="0"/>
  </x:cellStyles>
  <x:dxfs count="30">
    <x:dxf>
      <x:font>
        <x:b/>
        <x:color rgb="FF166534"/>
      </x:font>
      <x:fill>
        <x:patternFill>
          <x:bgColor rgb="FFDDF4E4"/>
        </x:patternFill>
      </x:fill>
    </x:dxf>
    <x:dxf>
      <x:font>
        <x:b/>
        <x:color rgb="FF991B1B"/>
      </x:font>
      <x:fill>
        <x:patternFill>
          <x:bgColor rgb="FFFDE2E2"/>
        </x:patternFill>
      </x:fill>
    </x:dxf>
    <x:dxf>
      <x:font>
        <x:b/>
        <x:color rgb="FF92400E"/>
      </x:font>
      <x:fill>
        <x:patternFill>
          <x:bgColor rgb="FFFCECC9"/>
        </x:patternFill>
      </x:fill>
    </x:dxf>
    <x:dxf>
      <x:font>
        <x:b/>
        <x:color rgb="FF854D0E"/>
      </x:font>
      <x:fill>
        <x:patternFill>
          <x:bgColor rgb="FFFFF5C2"/>
        </x:patternFill>
      </x:fill>
    </x:dxf>
    <x:dxf>
      <x:font>
        <x:b/>
        <x:color rgb="FF4B5563"/>
      </x:font>
      <x:fill>
        <x:patternFill>
          <x:bgColor rgb="FFE5E7EB"/>
        </x:patternFill>
      </x:fill>
    </x:dxf>
    <x:dxf>
      <x:font>
        <x:b/>
        <x:color rgb="FF1D4ED8"/>
      </x:font>
      <x:fill>
        <x:patternFill>
          <x:bgColor rgb="FFE8F0FE"/>
        </x:patternFill>
      </x:fill>
    </x:dxf>
    <x:dxf>
      <x:font>
        <x:b/>
        <x:color rgb="FF166534"/>
      </x:font>
      <x:fill>
        <x:patternFill>
          <x:bgColor rgb="FFDDF4E4"/>
        </x:patternFill>
      </x:fill>
    </x:dxf>
    <x:dxf>
      <x:font>
        <x:b/>
        <x:color rgb="FF991B1B"/>
      </x:font>
      <x:fill>
        <x:patternFill>
          <x:bgColor rgb="FFFDE2E2"/>
        </x:patternFill>
      </x:fill>
    </x:dxf>
    <x:dxf>
      <x:font>
        <x:b/>
        <x:color rgb="FF92400E"/>
      </x:font>
      <x:fill>
        <x:patternFill>
          <x:bgColor rgb="FFFCECC9"/>
        </x:patternFill>
      </x:fill>
    </x:dxf>
    <x:dxf>
      <x:font>
        <x:b/>
        <x:color rgb="FF854D0E"/>
      </x:font>
      <x:fill>
        <x:patternFill>
          <x:bgColor rgb="FFFFF5C2"/>
        </x:patternFill>
      </x:fill>
    </x:dxf>
    <x:dxf>
      <x:font>
        <x:b/>
        <x:color rgb="FF4B5563"/>
      </x:font>
      <x:fill>
        <x:patternFill>
          <x:bgColor rgb="FFE5E7EB"/>
        </x:patternFill>
      </x:fill>
    </x:dxf>
    <x:dxf>
      <x:font>
        <x:b/>
        <x:color rgb="FF1D4ED8"/>
      </x:font>
      <x:fill>
        <x:patternFill>
          <x:bgColor rgb="FFE8F0FE"/>
        </x:patternFill>
      </x:fill>
    </x:dxf>
    <x:dxf>
      <x:font>
        <x:b/>
        <x:color rgb="FF166534"/>
      </x:font>
      <x:fill>
        <x:patternFill>
          <x:bgColor rgb="FFDDF4E4"/>
        </x:patternFill>
      </x:fill>
    </x:dxf>
    <x:dxf>
      <x:font>
        <x:b/>
        <x:color rgb="FF991B1B"/>
      </x:font>
      <x:fill>
        <x:patternFill>
          <x:bgColor rgb="FFFDE2E2"/>
        </x:patternFill>
      </x:fill>
    </x:dxf>
    <x:dxf>
      <x:font>
        <x:b/>
        <x:color rgb="FF92400E"/>
      </x:font>
      <x:fill>
        <x:patternFill>
          <x:bgColor rgb="FFFCECC9"/>
        </x:patternFill>
      </x:fill>
    </x:dxf>
    <x:dxf>
      <x:font>
        <x:b/>
        <x:color rgb="FF854D0E"/>
      </x:font>
      <x:fill>
        <x:patternFill>
          <x:bgColor rgb="FFFFF5C2"/>
        </x:patternFill>
      </x:fill>
    </x:dxf>
    <x:dxf>
      <x:font>
        <x:b/>
        <x:color rgb="FF4B5563"/>
      </x:font>
      <x:fill>
        <x:patternFill>
          <x:bgColor rgb="FFE5E7EB"/>
        </x:patternFill>
      </x:fill>
    </x:dxf>
    <x:dxf>
      <x:font>
        <x:b/>
        <x:color rgb="FF1D4ED8"/>
      </x:font>
      <x:fill>
        <x:patternFill>
          <x:bgColor rgb="FFE8F0FE"/>
        </x:patternFill>
      </x:fill>
    </x:dxf>
    <x:dxf>
      <x:font>
        <x:b/>
        <x:color rgb="FF166534"/>
      </x:font>
      <x:fill>
        <x:patternFill>
          <x:bgColor rgb="FFDDF4E4"/>
        </x:patternFill>
      </x:fill>
    </x:dxf>
    <x:dxf>
      <x:font>
        <x:b/>
        <x:color rgb="FF991B1B"/>
      </x:font>
      <x:fill>
        <x:patternFill>
          <x:bgColor rgb="FFFDE2E2"/>
        </x:patternFill>
      </x:fill>
    </x:dxf>
    <x:dxf>
      <x:font>
        <x:b/>
        <x:color rgb="FF92400E"/>
      </x:font>
      <x:fill>
        <x:patternFill>
          <x:bgColor rgb="FFFCECC9"/>
        </x:patternFill>
      </x:fill>
    </x:dxf>
    <x:dxf>
      <x:font>
        <x:b/>
        <x:color rgb="FF854D0E"/>
      </x:font>
      <x:fill>
        <x:patternFill>
          <x:bgColor rgb="FFFFF5C2"/>
        </x:patternFill>
      </x:fill>
    </x:dxf>
    <x:dxf>
      <x:font>
        <x:b/>
        <x:color rgb="FF4B5563"/>
      </x:font>
      <x:fill>
        <x:patternFill>
          <x:bgColor rgb="FFE5E7EB"/>
        </x:patternFill>
      </x:fill>
    </x:dxf>
    <x:dxf>
      <x:font>
        <x:b/>
        <x:color rgb="FF1D4ED8"/>
      </x:font>
      <x:fill>
        <x:patternFill>
          <x:bgColor rgb="FFE8F0FE"/>
        </x:patternFill>
      </x:fill>
    </x:dxf>
    <x:dxf>
      <x:font>
        <x:b/>
        <x:color rgb="FF166534"/>
      </x:font>
      <x:fill>
        <x:patternFill>
          <x:bgColor rgb="FFDDF4E4"/>
        </x:patternFill>
      </x:fill>
    </x:dxf>
    <x:dxf>
      <x:font>
        <x:b/>
        <x:color rgb="FF991B1B"/>
      </x:font>
      <x:fill>
        <x:patternFill>
          <x:bgColor rgb="FFFDE2E2"/>
        </x:patternFill>
      </x:fill>
    </x:dxf>
    <x:dxf>
      <x:font>
        <x:b/>
        <x:color rgb="FF92400E"/>
      </x:font>
      <x:fill>
        <x:patternFill>
          <x:bgColor rgb="FFFCECC9"/>
        </x:patternFill>
      </x:fill>
    </x:dxf>
    <x:dxf>
      <x:font>
        <x:b/>
        <x:color rgb="FF854D0E"/>
      </x:font>
      <x:fill>
        <x:patternFill>
          <x:bgColor rgb="FFFFF5C2"/>
        </x:patternFill>
      </x:fill>
    </x:dxf>
    <x:dxf>
      <x:font>
        <x:b/>
        <x:color rgb="FF4B5563"/>
      </x:font>
      <x:fill>
        <x:patternFill>
          <x:bgColor rgb="FFE5E7EB"/>
        </x:patternFill>
      </x:fill>
    </x:dxf>
    <x:dxf>
      <x:font>
        <x:b/>
        <x:color rgb="FF1D4ED8"/>
      </x:font>
      <x:fill>
        <x:patternFill>
          <x:bgColor rgb="FFE8F0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38bb8f8bcf46f0" /><Relationship Type="http://schemas.openxmlformats.org/officeDocument/2006/relationships/theme" Target="/xl/theme/theme1.xml" Id="Ra93084deea064612" /><Relationship Type="http://schemas.openxmlformats.org/officeDocument/2006/relationships/sharedStrings" Target="/xl/sharedStrings.xml" Id="R94a9d218964f4144" /><Relationship Type="http://schemas.openxmlformats.org/officeDocument/2006/relationships/worksheet" Target="/xl/worksheets/sheet1.xml" Id="Re55b09edbf8f46f8" /><Relationship Type="http://schemas.openxmlformats.org/officeDocument/2006/relationships/worksheet" Target="/xl/worksheets/sheet2.xml" Id="Rbcf291800b944347" /><Relationship Type="http://schemas.openxmlformats.org/officeDocument/2006/relationships/worksheet" Target="/xl/worksheets/sheet3.xml" Id="R67d8f9003fd34108" /><Relationship Type="http://schemas.openxmlformats.org/officeDocument/2006/relationships/worksheet" Target="/xl/worksheets/sheet4.xml" Id="R6fd643e6eb9c407f" /><Relationship Type="http://schemas.openxmlformats.org/officeDocument/2006/relationships/worksheet" Target="/xl/worksheets/sheet5.xml" Id="Rce2ae0d4d7784358" /><Relationship Type="http://schemas.openxmlformats.org/officeDocument/2006/relationships/worksheet" Target="/xl/worksheets/sheet6.xml" Id="R2a7aecf9684a46f0" /><Relationship Type="http://schemas.microsoft.com/office/2017/10/relationships/person" Target="/xl/persons/person.xml" Id="R7ca85eea1f584cdc" /></Relationships>
</file>

<file path=xl/persons/person.xml><?xml version="1.0" encoding="utf-8"?>
<xltc:personList xmlns:xltc="http://schemas.microsoft.com/office/spreadsheetml/2018/threadedcomments">
  <xltc:person displayName="Mini-MVP browser tester" id="{1D9085A8-5C6B-4D00-93EE-78B0D4A4BE04}"/>
  <xltc:person displayName="Mini-MVP browser tester" id="{C8119EBC-09D4-4F84-A83A-1C5D581842EC}"/>
  <xltc:person displayName="Алексей" id="{7ED21356-1A86-47BB-8763-7392DCB39357}"/>
  <xltc:person displayName="Alexey Romanovich Wilhelm" id="{23F9B60D-8713-4E2F-8572-F057B74A395A}"/>
  <xltc:person displayName="Алексей" id="{AA6D792C-703E-4324-9FAB-FAE8A31D6AD3}"/>
  <xltc:person displayName="Алексей" id="{C3454A4C-2C1A-4A0C-83D3-0E69E654F031}"/>
  <xltc:person displayName="Алексей" id="{96D4E3EB-7F58-48C8-A98A-D1E864BC77CF}"/>
  <xltc:person displayName="Алексей" id="{2805D996-DCD6-40B9-BD05-4CE67B43C452}"/>
  <xltc:person displayName="Alexey Romanovich Wilhelm" id="{FF1943CB-075E-4E83-825B-F347F1550C32}"/>
  <xltc:person displayName="Alexey Romanovich Wilhelm" id="{C90FE812-FDF6-445A-9652-451D9E01352E}"/>
  <xltc:person displayName="Алексей" id="{31969BCB-1AF4-443D-B434-8DCB47502C31}"/>
  <xltc:person displayName="Алексей" id="{D3E1FA72-ECF6-4808-9AA7-AD9E3CEE2DE7}"/>
  <xltc:person displayName="Алексей" id="{56F54A25-B68A-4DFB-948A-32695E26D9BB}"/>
  <xltc:person displayName="Алексей" id="{1AD080DC-E01F-4170-AA82-336E1722B12D}"/>
  <xltc:person displayName="Алексей" id="{75097AD2-9329-4C4D-AF1E-9F695C252F9F}"/>
  <xltc:person displayName="Codex QA" id="{7A7DA6DF-8011-4BAD-89CC-65EDDCE534DD}"/>
  <xltc:person displayName="Alexey Romanovich Wilhelm" id="{64E68C1C-C896-4530-9F09-7F2015ECB6E2}"/>
  <xltc:person displayName="Alexey Romanovich Wilhelm" id="{7191A839-9F44-4696-A784-BBA26E8BD86B}"/>
  <xltc:person displayName="Алексей" id="{5942EF53-ED8A-4386-8C2B-60EDC5DA1A28}"/>
  <xltc:person displayName="Alexey Romanovich Wilhelm" id="{49BE8344-C533-4AFE-AA6D-83DFAA214550}"/>
  <xltc:person displayName="Alexey Romanovich Wilhelm" id="{135C7728-5E52-4CA3-B52D-109045988E5D}"/>
  <xltc:person displayName="Алексей" id="{048B89D3-FB2E-4D3C-8CB2-79C3E55D7B2E}"/>
  <xltc:person displayName="Алексей" id="{3A50C283-9B6A-4ED9-A0A2-B23A5E5F1821}"/>
  <xltc:person displayName="Алексей" id="{BA00BC20-88DB-49CD-ADA9-33916DB658E2}"/>
  <xltc:person displayName="Алексей" id="{CE9FCFF4-3309-4F3E-8651-42381A2CDBBA}"/>
  <xltc:person displayName="Алексей" id="{4888DE74-6926-4925-8CD3-AE6C4F3AFF0F}"/>
  <xltc:person displayName="Алексей" id="{509FAD89-BFB7-4A71-AFF6-B251451E1F95}"/>
  <xltc:person displayName="User" id="{AE763235-4FF3-4A0D-B883-84BE7ABD3565}"/>
  <xltc:person displayName="Алексей" id="{DC1C692D-2D76-40AA-A62A-01FBFA7E00BF}"/>
  <xltc:person displayName="Алексей" id="{1C44E7D6-5C3A-4D2E-B559-5946C955CD58}"/>
  <xltc:person displayName="Алексей" id="{7245558D-B2CF-4DB6-A7E2-82587361EBC7}"/>
  <xltc:person displayName="Codex QA" id="{D310FBCD-2C4D-4468-9B5E-3DAA92B7830D}"/>
  <xltc:person displayName="Codex QA" id="{784A279D-84A2-40AD-B4B7-80E58F9D98D9}"/>
  <xltc:person displayName="Codex QA" id="{A2312976-F29B-49F2-AA19-43208DFD3664}"/>
  <xltc:person displayName="Alexey Romanovich Wilhelm" id="{F7E2F29A-833E-41B4-B624-EB2AEFA53435}"/>
  <xltc:person displayName="Алексей" id="{58C2F088-7C30-44F8-9E32-AE99FB83CC89}"/>
  <xltc:person displayName="Codex manual QA" id="{0C068857-AFE2-414C-B0BA-5327B2C05FD4}"/>
  <xltc:person displayName="Codex manual QA" id="{7B462E70-C7EB-4DA5-A9C8-839ED7F79FB2}"/>
  <xltc:person displayName="Codex manual QA" id="{4B64EBF8-9A80-475B-99A8-B0004562C5B4}"/>
  <xltc:person displayName="Codex QA" id="{ADA7D219-D191-42D2-852C-8B02660836F5}"/>
  <xltc:person displayName="Алексей" id="{C413A16E-B4C0-4B77-A19F-A8A444CED529}"/>
  <xltc:person displayName="Алексей" id="{0CA29B31-4C37-4862-BD7C-EE0792B1E90F}"/>
  <xltc:person displayName="Алексей" id="{D0BBEAC9-8678-46A3-B36A-A42C1E682673}"/>
  <xltc:person displayName="Алексей" id="{4145D3E1-7BD7-477B-864F-2D8508CB44FB}"/>
  <xltc:person displayName="Codex QA" id="{2A90791E-B474-4064-A1A8-39A60A4E68D8}"/>
  <xltc:person displayName="Codex QA" id="{872A3BC0-ABB2-41BF-AA3F-6F0E2F8E57B6}"/>
  <xltc:person displayName="Codex QA" id="{52C2F74D-AA43-4CFC-9875-35615619F75D}"/>
  <xltc:person displayName="Codex QA" id="{C72C61F1-6DBE-4308-A013-C5820EA9F4EC}"/>
  <xltc:person displayName="Alexey Romanovich Wilhelm" id="{B6722C21-F53E-4906-B6A6-7E0EC2AD0791}"/>
</xltc:personList>
</file>

<file path=xl/tables/table1.xml><?xml version="1.0" encoding="utf-8"?>
<x:table xmlns:x="http://schemas.openxmlformats.org/spreadsheetml/2006/main" id="1" name="ClassesChecklist" displayName="ClassesChecklist" ref="A5:L381" headerRowCount="1" totalsRowCount="0" totalsRowShown="0">
  <x:tableColumns count="12">
    <x:tableColumn id="1" name="Class"/>
    <x:tableColumn id="2" name="Class card"/>
    <x:tableColumn id="3" name="Class entity ID"/>
    <x:tableColumn id="4" name="Minimum level"/>
    <x:tableColumn id="5" name="Item type"/>
    <x:tableColumn id="6" name="Ability / effect"/>
    <x:tableColumn id="7" name="Item ID / card"/>
    <x:tableColumn id="8" name="Expected behavior / effects"/>
    <x:tableColumn id="9" name="Catalog support"/>
    <x:tableColumn id="10" name="Manual status"/>
    <x:tableColumn id="11" name="Character ID(s)"/>
    <x:tableColumn id="12" name="Test notes"/>
  </x:tableColumns>
  <x:tableStyleInfo name="TableStyleMedium2" showFirstColumn="0" showLastColumn="0" showRowStripes="1" showColumnStripes="0"/>
</x:table>
</file>

<file path=xl/tables/table2.xml><?xml version="1.0" encoding="utf-8"?>
<x:table xmlns:x="http://schemas.openxmlformats.org/spreadsheetml/2006/main" id="2" name="SpeciesChecklist" displayName="SpeciesChecklist" ref="A5:M211" headerRowCount="1" totalsRowCount="0" totalsRowShown="0">
  <x:tableColumns count="13">
    <x:tableColumn id="1" name="Species"/>
    <x:tableColumn id="2" name="Variant / lineage"/>
    <x:tableColumn id="3" name="Parent card"/>
    <x:tableColumn id="4" name="Entity card"/>
    <x:tableColumn id="5" name="Entity ID"/>
    <x:tableColumn id="6" name="Minimum level"/>
    <x:tableColumn id="7" name="Item type"/>
    <x:tableColumn id="8" name="Ability / effect"/>
    <x:tableColumn id="9" name="Expected behavior / effects"/>
    <x:tableColumn id="10" name="Catalog support"/>
    <x:tableColumn id="11" name="Manual status"/>
    <x:tableColumn id="12" name="Character ID(s)"/>
    <x:tableColumn id="13" name="Test notes"/>
  </x:tableColumns>
  <x:tableStyleInfo name="TableStyleMedium2" showFirstColumn="0" showLastColumn="0" showRowStripes="1" showColumnStripes="0"/>
</x:table>
</file>

<file path=xl/tables/table3.xml><?xml version="1.0" encoding="utf-8"?>
<x:table xmlns:x="http://schemas.openxmlformats.org/spreadsheetml/2006/main" id="3" name="SpellsChecklist" displayName="SpellsChecklist" ref="A5:L103" headerRowCount="1" totalsRowCount="0" totalsRowShown="0">
  <x:tableColumns count="12">
    <x:tableColumn id="1" name="Level"/>
    <x:tableColumn id="2" name="Spell"/>
    <x:tableColumn id="3" name="Card"/>
    <x:tableColumn id="4" name="Entity ID"/>
    <x:tableColumn id="5" name="Declared classes"/>
    <x:tableColumn id="6" name="Activation / trigger"/>
    <x:tableColumn id="7" name="Resource cost"/>
    <x:tableColumn id="8" name="Expected behavior / targeting / effects"/>
    <x:tableColumn id="9" name="Catalog support"/>
    <x:tableColumn id="10" name="Manual status"/>
    <x:tableColumn id="11" name="Character ID(s)"/>
    <x:tableColumn id="12" name="Test notes"/>
  </x:tableColumns>
  <x:tableStyleInfo name="TableStyleMedium2" showFirstColumn="0" showLastColumn="0" showRowStripes="1" showColumnStripes="0"/>
</x:table>
</file>

<file path=xl/tables/table4.xml><?xml version="1.0" encoding="utf-8"?>
<x:table xmlns:x="http://schemas.openxmlformats.org/spreadsheetml/2006/main" id="4" name="FeatsChecklist" displayName="FeatsChecklist" ref="A5:L53" headerRowCount="1" totalsRowCount="0" totalsRowShown="0">
  <x:tableColumns count="12">
    <x:tableColumn id="1" name="Category"/>
    <x:tableColumn id="2" name="Feat"/>
    <x:tableColumn id="3" name="Card"/>
    <x:tableColumn id="4" name="Feat entity ID"/>
    <x:tableColumn id="5" name="Item type"/>
    <x:tableColumn id="6" name="Ability / effect"/>
    <x:tableColumn id="7" name="Item ID / card"/>
    <x:tableColumn id="8" name="Expected behavior / effects"/>
    <x:tableColumn id="9" name="Catalog support"/>
    <x:tableColumn id="10" name="Manual status"/>
    <x:tableColumn id="11" name="Character ID(s)"/>
    <x:tableColumn id="12" name="Test notes"/>
  </x:tableColumns>
  <x:tableStyleInfo name="TableStyleMedium2" showFirstColumn="0" showLastColumn="0" showRowStripes="1" showColumnStripes="0"/>
</x:table>
</file>

<file path=xl/tables/table5.xml><?xml version="1.0" encoding="utf-8"?>
<x:table xmlns:x="http://schemas.openxmlformats.org/spreadsheetml/2006/main" id="5" name="BaseMechanicsChecklist" displayName="BaseMechanicsChecklist" ref="A5:K49" headerRowCount="1" totalsRowCount="0" totalsRowShown="0">
  <x:tableColumns count="11">
    <x:tableColumn id="1" name="Category"/>
    <x:tableColumn id="2" name="Mechanic / entity"/>
    <x:tableColumn id="3" name="Card / check ID"/>
    <x:tableColumn id="4" name="Entity ID"/>
    <x:tableColumn id="5" name="Item type"/>
    <x:tableColumn id="6" name="Activation / resource"/>
    <x:tableColumn id="7" name="Expected behavior / effects"/>
    <x:tableColumn id="8" name="Catalog support"/>
    <x:tableColumn id="9" name="Manual status"/>
    <x:tableColumn id="10" name="Character ID(s)"/>
    <x:tableColumn id="11" name="Test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L5" dT="2026-08-30T08:27:28.82" personId="{1D9085A8-5C6B-4D00-93EE-78B0D4A4BE04}" id="{4FFF6D6E-29AC-4A78-935B-71838222DE3C}">
    <xltc:text>After each browser test, record the observable result here. Add the full test evidence as a threaded cell comment and put every character UUID in the Character ID(s) column.</xltc:text>
  </xltc:threadedComment>
  <xltc:threadedComment ref="L23" dT="2026-08-30T10:19:22.449" personId="{C8119EBC-09D4-4F84-A83A-1C5D581842EC}" id="{CA8E6133-D4E1-4C02-8B24-558975BAD0E9}">
    <xltc:text>Production browser evidence, 2026-08-30. Release f601e00530c788ef3f7fe3076be9bf66d100208b. Sheet: PASS — reported Bard loads with correct class chassis and usable spell actions after the Charisma repair. Combat: pending. Clarity: PASS for class identity/resources; individual abilities are tracked separately. Character ID(s): 100eb271-ad36-4045-9aea-ef0d01a9e395.</xltc:text>
  </xltc:threadedComment>
  <xltc:threadedComment ref="L24" dT="2026-08-30T10:19:22.459" personId="{C8119EBC-09D4-4F84-A83A-1C5D581842EC}" id="{D292DA45-D764-4CC8-B032-35F118C11A12}">
    <xltc:text>Production browser evidence, 2026-08-30. Release f601e00530c788ef3f7fe3076be9bf66d100208b. Sheet: PASS — Bardic Inspiration charge decremented exactly once and returned on long rest. Combat: pending. Clarity: PASS — remaining/max resource is visible. Character ID(s): 100eb271-ad36-4045-9aea-ef0d01a9e395.</xltc:text>
  </xltc:threadedComment>
  <xltc:threadedComment ref="L24" dT="2026-08-30T17:40:38.142" personId="{7ED21356-1A86-47BB-8763-7392DCB39357}" id="{24DF7D80-33AE-47A2-9306-24ECA32AB159}" parentId="{D292DA45-D764-4CC8-B032-35F118C11A12}">
    <xltc:text>Production browser evidence update, 2026-08-30. Release f7d5fb86778fa3d4b3edcd1a0a25be22215554f2. Combat: PASS — Bardic Inspiration spent one charge and the charge remained spent after reload; the scene constructor then restored the Bard from 4/7 to 7/7 resources without changing HP, active turn, or the ally effect. Sheet: PASS from the earlier long-rest check. Clarity: PASS for remaining/max resource. Character ID(s): 100eb271-ad36-4045-9aea-ef0d01a9e395.</xltc:text>
  </xltc:threadedComment>
  <xltc:threadedComment ref="L24" dT="2026-09-02T04:09:46.177" personId="{23F9B60D-8713-4E2F-8572-F057B74A395A}" id="{7E379506-42BC-449A-AEE1-945F5BDD05D6}" parentId="{D292DA45-D764-4CC8-B032-35F118C11A12}">
    <xltc:text>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ltc:text>
  </xltc:threadedComment>
  <xltc:threadedComment ref="L25" dT="2026-08-30T10:19:22.468" personId="{C8119EBC-09D4-4F84-A83A-1C5D581842EC}" id="{DD65E321-0D68-4D7B-8F12-27C523AAE0C1}">
    <xltc:text>Production browser evidence, 2026-08-30. Release f601e00530c788ef3f7fe3076be9bf66d100208b. Sheet: PASS — Cure Wounds spent exactly one level-1 slot and long rest restored both slots. Combat: pending. Clarity: PASS — slot count changed visibly. Character ID(s): 100eb271-ad36-4045-9aea-ef0d01a9e395.</xltc:text>
  </xltc:threadedComment>
  <xltc:threadedComment ref="L25" dT="2026-08-30T18:30:00.586" personId="{AA6D792C-703E-4324-9FAB-FAE8A31D6AD3}" id="{76CEC00A-EAC9-4207-9D96-4D5E53D2919C}" parentId="{DD65E321-0D68-4D7B-8F12-27C523AAE0C1}">
    <xltc:text>Production evidence update, 2026-08-30. Cure Wounds executed in the retained combat on release f7d5fb86778fa3d4b3edcd1a0a25be22215554f2: action 1 and spell_slot_1 1 were spent, one slot remained, and the journal showed the exact spend beside the healing roll. Long rest and scene refresh independently restored both slots. Reload retained the combat result. Character ID(s): 100eb271-ad36-4045-9aea-ef0d01a9e395.</xltc:text>
  </xltc:threadedComment>
  <xltc:threadedComment ref="L34" dT="2026-08-30T10:19:22.474" personId="{C8119EBC-09D4-4F84-A83A-1C5D581842EC}" id="{745DD09A-F031-43FC-8F9F-6D1732CD3531}">
    <xltc:text>Production browser evidence, 2026-08-30. Release f601e00530c788ef3f7fe3076be9bf66d100208b. Sheet: PASS on release f601e00 — bonus action and one charge consumed; compatible ally received persistent 1d6 boon after reload. Combat: pending. Clarity: PASS — recipient sees eligible rolls, consumption instruction, and “Снять вручную”. Character ID(s): 100eb271-ad36-4045-9aea-ef0d01a9e395; 84e8c110-bbba-41be-85ef-9165c376d746.</xltc:text>
  </xltc:threadedComment>
  <xltc:threadedComment ref="L34" dT="2026-08-30T17:40:38.145" personId="{7ED21356-1A86-47BB-8763-7392DCB39357}" id="{41FAA4D7-7633-41C0-9205-84944914A942}" parentId="{745DD09A-F031-43FC-8F9F-6D1732CD3531}">
    <xltc:text>Production browser evidence update, 2026-08-30. Release f7d5fb86778fa3d4b3edcd1a0a25be22215554f2. Combat: PASS — Bardic Inspiration targeted the adjacent compatible Goliath, consumed exactly bonus_action 1/1 and bardic_inspiration 1/1, created “Талон 1к6”, and persisted across reload. Clarity: PARTIAL — the combat journal says to add 1d6 to an attack, check, or save and remove the effect after use; the target inspector exposes only the effect title, so the instruction is not available at the point of inspection. Sheet usage and full-sheet recipient clarity already pass. Character ID(s): 100eb271-ad36-4045-9aea-ef0d01a9e395; 84e8c110-bbba-41be-85ef-9165c376d746.</xltc:text>
  </xltc:threadedComment>
  <xltc:threadedComment ref="L34" dT="2026-08-30T20:31:21.085" personId="{C3454A4C-2C1A-4A0C-83D3-0E69E654F031}" id="{80E4AD53-CC08-43AE-9267-E86CC7EFC9E8}" parentId="{745DD09A-F031-43FC-8F9F-6D1732CD3531}">
    <xltc:text>Production browser evidence update, 2026-08-30. Release ce3e43e5bd0c7669e6a7d39d390add2c7d46e080. Bardic Inspiration still targets the retained Goliath, spends exactly one bonus action and one charge, and persists through reload and scene resource refresh. The recipient now sees one grouped “Талон 1к6 (Вдохновение барда)” row in both the full sheet and the live combat drawer, followed by “Добавьте 1к6 к проверке характеристики, броску атаки или спасброску, затем снимите эффект.” All three dimensions pass. Character ID(s): 100eb271-ad36-4045-9aea-ef0d01a9e395; 84e8c110-bbba-41be-85ef-9165c376d746.</xltc:text>
  </xltc:threadedComment>
  <xltc:threadedComment ref="L34" dT="2026-08-31T05:24:18.198" personId="{96D4E3EB-7F58-48C8-A98A-D1E864BC77CF}" id="{37D32647-394B-4C58-978F-D2D91824EABD}" parentId="{745DD09A-F031-43FC-8F9F-6D1732CD3531}">
    <xltc:text>Additional production browser evidence, 2026-08-31. Release afa3f6c30a96e29603a64d34ba09287610577b78. Retained Bard 100eb271-ad36-4045-9aea-ef0d01a9e395 granted Bardic Inspiration to retained Human Wizard 356f2df5-2593-4b3d-a249-ebe72cbc42a5 first from the character sheet and again in combat. Each application spent exactly one bonus action and one bardic-inspiration charge; the combat application replaced the existing boon rather than duplicating it. The recipient could see “Талон 1к6 (Вдохновение барда)” in the sheet and combat drawer. However, opening an eligible saving throw offered only the ordinary d20, while the deployed instruction merely said to add 1d6 and remove the effect, leaving the actual workflow ambiguous. Commit c46b4ed now says to roll a separate 1d6, manually add the result to an eligible roll, and click × “Снять вручную”; the combat narrative matches. Focused tests, lint, TypeScript, and production build passed. Production wording retest awaits Timecloud deployment. Character ID(s): 100eb271-ad36-4045-9aea-ef0d01a9e395; 356f2df5-2593-4b3d-a249-ebe72cbc42a5.</xltc:text>
  </xltc:threadedComment>
  <xltc:threadedComment ref="L34" dT="2026-09-02T04:09:46.18" personId="{23F9B60D-8713-4E2F-8572-F057B74A395A}" id="{7BA99F77-5682-4301-87A7-FDF79716DC3E}" parentId="{745DD09A-F031-43FC-8F9F-6D1732CD3531}">
    <xltc:text>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ltc:text>
  </xltc:threadedComment>
  <xltc:threadedComment ref="L35" dT="2026-08-30T10:19:22.484" personId="{C8119EBC-09D4-4F84-A83A-1C5D581842EC}" id="{02D9DEEB-B99C-4834-B336-7D4BD2CFDE7A}">
    <xltc:text>Production browser evidence, 2026-08-30. Release f601e00530c788ef3f7fe3076be9bf66d100208b. Sheet: PASS — Mage Hand, Light, Minor Illusion, and self Cure Wounds activate with Charisma-based Bard spellcasting after migration 118. Combat: pending. Clarity: PASS for spellcasting ability/resource availability; entity outcomes tracked in Spells. Character ID(s): 100eb271-ad36-4045-9aea-ef0d01a9e395.</xltc:text>
  </xltc:threadedComment>
  <xltc:threadedComment ref="L35" dT="2026-08-30T18:30:00.596" personId="{AA6D792C-703E-4324-9FAB-FAE8A31D6AD3}" id="{373712C6-5729-4062-9D09-C2BBD791DAF3}" parentId="{02D9DEEB-B99C-4834-B336-7D4BD2CFDE7A}">
    <xltc:text>Production evidence update, 2026-08-30. Sheet: PASS — Mage Hand, Light, Minor Illusion, and Cure Wounds activated through the Bard's Charisma spellcasting. Combat: PASS — Cure Wounds and Thunderwave executed from the same retained Bard, spent the expected action/slot, and persisted through reload. Clarity: PASS for ability, availability, resources, rolls, and outcomes; individual spell caveats remain on their own rows. Character ID(s): 100eb271-ad36-4045-9aea-ef0d01a9e395.</xltc:text>
  </xltc:threadedComment>
  <xltc:threadedComment ref="L36" dT="2026-08-30T10:19:22.489" personId="{C8119EBC-09D4-4F84-A83A-1C5D581842EC}" id="{DCAAF1A7-A514-431B-9D28-7FBA62E2F84E}">
    <xltc:text>Production browser evidence, 2026-08-30. Release f601e00530c788ef3f7fe3076be9bf66d100208b. Sheet: PASS — target received “Талон 1к6 (Вдохновение барда)”. Combat: pending. Clarity: PASS on f601e00 — 1d6 and eligible rolls are explicit. Character ID(s): 100eb271-ad36-4045-9aea-ef0d01a9e395; 84e8c110-bbba-41be-85ef-9165c376d746.</xltc:text>
  </xltc:threadedComment>
  <xltc:threadedComment ref="L36" dT="2026-08-30T17:40:38.15" personId="{7ED21356-1A86-47BB-8763-7392DCB39357}" id="{5541724B-8E91-4CF7-8282-4B28AA2B88CD}" parentId="{DCAAF1A7-A514-431B-9D28-7FBA62E2F84E}">
    <xltc:text>Production browser evidence update, 2026-08-30. Release f7d5fb86778fa3d4b3edcd1a0a25be22215554f2. Combat: PASS — “Талон 1к6 (Вдохновение барда)” appears on the compatible Goliath, survives combat reload, and is preserved by scene resource refresh. Clarity: PARTIAL — the combat journal explains the 1d6 and its eligible rolls; actor inspection lists the token name twice but no mechanics or consumption guidance. Character ID(s): 100eb271-ad36-4045-9aea-ef0d01a9e395; 84e8c110-bbba-41be-85ef-9165c376d746.</xltc:text>
  </xltc:threadedComment>
  <xltc:threadedComment ref="L36" dT="2026-08-30T20:31:21.088" personId="{C3454A4C-2C1A-4A0C-83D3-0E69E654F031}" id="{14F1CE73-5211-405C-9AD2-BFB595C481B0}" parentId="{DCAAF1A7-A514-431B-9D28-7FBA62E2F84E}">
    <xltc:text>Production browser evidence update, 2026-08-30. Release ce3e43e5bd0c7669e6a7d39d390add2c7d46e080. The persisted Bardic Inspiration boon is grouped into one visible row even when stable-id payloads repeat. In the actual mounted combat character drawer and the full character sheet, the ally can see that the boon supplies 1d6, which rolls accept it, and that the effect should be removed after use. Character ID(s): 100eb271-ad36-4045-9aea-ef0d01a9e395; 84e8c110-bbba-41be-85ef-9165c376d746.</xltc:text>
  </xltc:threadedComment>
  <xltc:threadedComment ref="L36" dT="2026-09-02T04:09:46.18" personId="{23F9B60D-8713-4E2F-8572-F057B74A395A}" id="{0CCAE49E-24FC-4684-9C86-F3CE295CFDAA}" parentId="{DCAAF1A7-A514-431B-9D28-7FBA62E2F84E}">
    <xltc:text>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ltc:text>
  </xltc:threadedComment>
  <xltc:threadedComment ref="L69" dT="2026-08-30T19:34:57.19" personId="{2805D996-DCD6-40B9-BD05-4CE67B43C452}" id="{08E84DE5-63E8-41B0-8CE4-2674A4FFCF52}">
    <xltc:text>Production browser evidence, 2026-08-30. Releases abc6ee741368041b118cf3228d0cee49a71d34aa and 726c7b7aac5f78659c689f58a78986ae219cb2f7. Combat: PASS — at 6/12 HP, Second Wind rolled d10=2 + Fighter level 1, healed 3 to 9/12, consumed bonus_action and one use, and survived reload. Sheet: PASS — after resource refresh it rolled d10=10 + level 1 and capped healing at 12/12; HP and remaining availability survived reload. Clarity: PARTIAL — outcome/journal values are clear, but the shared preview card exposes raw “self_uses”/“self_level” and renders “Стоит: , self_uses”. Character ID: 84e8c110-bbba-41be-85ef-9165c376d746.</xltc:text>
  </xltc:threadedComment>
  <xltc:threadedComment ref="L69" dT="2026-08-30T20:31:21.092" personId="{C3454A4C-2C1A-4A0C-83D3-0E69E654F031}" id="{3D0224FC-711E-4537-8070-027CC93A777C}" parentId="{08E84DE5-63E8-41B0-8CE4-2674A4FFCF52}">
    <xltc:text>Production browser evidence update, 2026-08-30. Release ce3e43e5bd0c7669e6a7d39d390add2c7d46e080. Existing production mechanics remain verified: at 6/12 HP, Second Wind rolled d10=2 + Fighter level 1, healed 3 to 9/12, spent bonus_action and one use, and persisted; on the sheet it rolled d10=10 + level 1 and capped at 12/12. The final preview shows “Лечение: 1к10 + 1 лечение” and “Стоит: Заряд способности”; raw uses_ACT, self_uses, and self_level tokens are absent. Character ID: 84e8c110-bbba-41be-85ef-9165c376d746.</xltc:text>
  </xltc:threadedComment>
  <xltc:threadedComment ref="L70" dT="2026-08-30T19:34:57.193" personId="{2805D996-DCD6-40B9-BD05-4CE67B43C452}" id="{A3A48CCD-9050-4549-B4D6-32948A0A53C4}">
    <xltc:text>Production browser evidence, 2026-08-30. The fresh Fighter was created through Forge with Unarmed Fighting selected; the resulting sheet and combat action both received the style's d8 empty-hands damage after release abc6ee741368041b118cf3228d0cee49a71d34aa. The final action-card projection was verified on 726c7b7aac5f78659c689f58a78986ae219cb2f7. Status remains Needs retest because this generic choice row covers additional fighting-style options that are not yet manually tested. Character ID: 84e8c110-bbba-41be-85ef-9165c376d746.</xltc:text>
  </xltc:threadedComment>
  <xltc:threadedComment ref="L6" dT="2026-09-01T01:20:32.905" personId="{FF1943CB-075E-4E83-825B-F347F1550C32}" id="{8FF742AE-9831-45AC-A7B6-4AAA9CDC626B}">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7" dT="2026-09-01T01:20:32.913" personId="{FF1943CB-075E-4E83-825B-F347F1550C32}" id="{54844EFB-336C-452D-8702-1EA92230EC45}">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8" dT="2026-09-01T01:20:32.919" personId="{FF1943CB-075E-4E83-825B-F347F1550C32}" id="{02879C0D-9CFA-4176-A1A2-7D0899DA8634}">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9" dT="2026-09-01T01:20:32.924" personId="{FF1943CB-075E-4E83-825B-F347F1550C32}" id="{C15B030E-6835-4E03-AA14-B73C44B7461E}">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10" dT="2026-09-01T01:20:32.935" personId="{FF1943CB-075E-4E83-825B-F347F1550C32}" id="{9ACECE35-6348-4902-88DA-EDD1DBC12358}">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11" dT="2026-09-01T01:20:32.941" personId="{FF1943CB-075E-4E83-825B-F347F1550C32}" id="{89D2EB99-1394-49CC-AD68-05475CC997A2}">
    <xltc:text>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ltc:text>
  </xltc:threadedComment>
  <xltc:threadedComment ref="L238" dT="2026-09-01T01:20:32.947" personId="{FF1943CB-075E-4E83-825B-F347F1550C32}" id="{08E441B4-0178-4F18-838F-1627FA76B82B}">
    <xltc:text>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ltc:text>
  </xltc:threadedComment>
  <xltc:threadedComment ref="L240" dT="2026-09-01T01:20:32.952" personId="{FF1943CB-075E-4E83-825B-F347F1550C32}" id="{C5C14767-7B56-4B7E-811C-A81405DF6871}">
    <xltc:text>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ltc:text>
  </xltc:threadedComment>
  <xltc:threadedComment ref="L241" dT="2026-09-01T01:20:32.957" personId="{FF1943CB-075E-4E83-825B-F347F1550C32}" id="{91655F03-FA9D-48CD-9773-8956DF7138A4}">
    <xltc:text>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ltc:text>
  </xltc:threadedComment>
  <xltc:threadedComment ref="L242" dT="2026-09-01T01:20:32.962" personId="{FF1943CB-075E-4E83-825B-F347F1550C32}" id="{FAD3C27D-C8F2-4C68-AEA2-08FFF4BFBD51}">
    <xltc:text>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ltc:text>
  </xltc:threadedComment>
  <xltc:threadedComment ref="L26" dT="2026-09-01T01:26:10.754" personId="{C90FE812-FDF6-445A-9652-451D9E01352E}" id="{DB7F8052-B4C2-4E7B-BE7F-3064802D5718}">
    <xltc:text>Checklist inventory correction: spell_slot_2 first becomes available at class level 3; it is not part of the level-1 mini-MVP gate. Its Not tested status is intentionally preserved for the later-level phase.</xltc:text>
  </xltc:threadedComment>
  <xltc:threadedComment ref="L27" dT="2026-09-01T01:26:10.755" personId="{C90FE812-FDF6-445A-9652-451D9E01352E}" id="{FE71C891-E313-4B83-A147-B6E49A6D489E}">
    <xltc:text>Checklist inventory correction: spell_slot_3 first becomes available at class level 5; it is not part of the level-1 mini-MVP gate. Its Not tested status is intentionally preserved for the later-level phase.</xltc:text>
  </xltc:threadedComment>
  <xltc:threadedComment ref="L28" dT="2026-09-01T01:26:10.755" personId="{C90FE812-FDF6-445A-9652-451D9E01352E}" id="{5E4DCAF2-5521-4385-AC26-E8B1180FACA2}">
    <xltc:text>Checklist inventory correction: spell_slot_4 first becomes available at class level 7; it is not part of the level-1 mini-MVP gate. Its Not tested status is intentionally preserved for the later-level phase.</xltc:text>
  </xltc:threadedComment>
  <xltc:threadedComment ref="L29" dT="2026-09-01T01:26:10.757" personId="{C90FE812-FDF6-445A-9652-451D9E01352E}" id="{BA9DC460-43A7-4615-AD52-81E39A56E5B4}">
    <xltc:text>Checklist inventory correction: spell_slot_5 first becomes available at class level 9; it is not part of the level-1 mini-MVP gate. Its Not tested status is intentionally preserved for the later-level phase.</xltc:text>
  </xltc:threadedComment>
  <xltc:threadedComment ref="L30" dT="2026-09-01T01:26:10.758" personId="{C90FE812-FDF6-445A-9652-451D9E01352E}" id="{FC319073-DFEF-421A-989B-9C13C29F5F88}">
    <xltc:text>Checklist inventory correction: spell_slot_6 first becomes available at class level 11; it is not part of the level-1 mini-MVP gate. Its Not tested status is intentionally preserved for the later-level phase.</xltc:text>
  </xltc:threadedComment>
  <xltc:threadedComment ref="L31" dT="2026-09-01T01:26:10.758" personId="{C90FE812-FDF6-445A-9652-451D9E01352E}" id="{A8D02315-93C8-472B-965D-5574759A8E25}">
    <xltc:text>Checklist inventory correction: spell_slot_7 first becomes available at class level 13; it is not part of the level-1 mini-MVP gate. Its Not tested status is intentionally preserved for the later-level phase.</xltc:text>
  </xltc:threadedComment>
  <xltc:threadedComment ref="L32" dT="2026-09-01T01:26:10.758" personId="{C90FE812-FDF6-445A-9652-451D9E01352E}" id="{950F0BC0-E2FD-4D88-8584-7DB2C34B936B}">
    <xltc:text>Checklist inventory correction: spell_slot_8 first becomes available at class level 15; it is not part of the level-1 mini-MVP gate. Its Not tested status is intentionally preserved for the later-level phase.</xltc:text>
  </xltc:threadedComment>
  <xltc:threadedComment ref="L33" dT="2026-09-01T01:26:10.759" personId="{C90FE812-FDF6-445A-9652-451D9E01352E}" id="{7339060F-765A-4C11-9C99-7021F9E1019C}">
    <xltc:text>Checklist inventory correction: spell_slot_9 first becomes available at class level 17; it is not part of the level-1 mini-MVP gate. Its Not tested status is intentionally preserved for the later-level phase.</xltc:text>
  </xltc:threadedComment>
  <xltc:threadedComment ref="L87" dT="2026-09-01T01:26:10.759" personId="{C90FE812-FDF6-445A-9652-451D9E01352E}" id="{F8FDCF6C-98D2-4917-9704-E0D4C3156B06}">
    <xltc:text>Checklist inventory correction: spell_slot_2 first becomes available at class level 3; it is not part of the level-1 mini-MVP gate. Its Not tested status is intentionally preserved for the later-level phase.</xltc:text>
  </xltc:threadedComment>
  <xltc:threadedComment ref="L88" dT="2026-09-01T01:26:10.759" personId="{C90FE812-FDF6-445A-9652-451D9E01352E}" id="{14DA0476-D8CC-4201-BCF2-1F5707DA5D42}">
    <xltc:text>Checklist inventory correction: spell_slot_3 first becomes available at class level 5; it is not part of the level-1 mini-MVP gate. Its Not tested status is intentionally preserved for the later-level phase.</xltc:text>
  </xltc:threadedComment>
  <xltc:threadedComment ref="L89" dT="2026-09-01T01:26:10.76" personId="{C90FE812-FDF6-445A-9652-451D9E01352E}" id="{D613EEEC-1C9E-45EE-A85D-A06030CC945D}">
    <xltc:text>Checklist inventory correction: spell_slot_4 first becomes available at class level 7; it is not part of the level-1 mini-MVP gate. Its Not tested status is intentionally preserved for the later-level phase.</xltc:text>
  </xltc:threadedComment>
  <xltc:threadedComment ref="L90" dT="2026-09-01T01:26:10.76" personId="{C90FE812-FDF6-445A-9652-451D9E01352E}" id="{F6941BA1-7BDF-419A-8012-BFB65EBDA63C}">
    <xltc:text>Checklist inventory correction: spell_slot_5 first becomes available at class level 9; it is not part of the level-1 mini-MVP gate. Its Not tested status is intentionally preserved for the later-level phase.</xltc:text>
  </xltc:threadedComment>
  <xltc:threadedComment ref="L91" dT="2026-09-01T01:26:10.76" personId="{C90FE812-FDF6-445A-9652-451D9E01352E}" id="{7A224961-F7B9-4D7A-8C05-7B126B11A3CC}">
    <xltc:text>Checklist inventory correction: spell_slot_6 first becomes available at class level 11; it is not part of the level-1 mini-MVP gate. Its Not tested status is intentionally preserved for the later-level phase.</xltc:text>
  </xltc:threadedComment>
  <xltc:threadedComment ref="L92" dT="2026-09-01T01:26:10.76" personId="{C90FE812-FDF6-445A-9652-451D9E01352E}" id="{7A3BE890-C0A5-4927-94C7-50DB2F7FD585}">
    <xltc:text>Checklist inventory correction: spell_slot_7 first becomes available at class level 13; it is not part of the level-1 mini-MVP gate. Its Not tested status is intentionally preserved for the later-level phase.</xltc:text>
  </xltc:threadedComment>
  <xltc:threadedComment ref="L93" dT="2026-09-01T01:26:10.761" personId="{C90FE812-FDF6-445A-9652-451D9E01352E}" id="{355DB2CB-D2D2-41E6-9444-75CCED6165E0}">
    <xltc:text>Checklist inventory correction: spell_slot_8 first becomes available at class level 15; it is not part of the level-1 mini-MVP gate. Its Not tested status is intentionally preserved for the later-level phase.</xltc:text>
  </xltc:threadedComment>
  <xltc:threadedComment ref="L94" dT="2026-09-01T01:26:10.761" personId="{C90FE812-FDF6-445A-9652-451D9E01352E}" id="{157BC708-B138-440E-BB37-95D881CE7793}">
    <xltc:text>Checklist inventory correction: spell_slot_9 first becomes available at class level 17; it is not part of the level-1 mini-MVP gate. Its Not tested status is intentionally preserved for the later-level phase.</xltc:text>
  </xltc:threadedComment>
  <xltc:threadedComment ref="L126" dT="2026-09-01T01:26:10.761" personId="{C90FE812-FDF6-445A-9652-451D9E01352E}" id="{297D78B0-0C74-4C4C-AAEE-DFFD89C16479}">
    <xltc:text>Checklist inventory correction: spell_slot_2 first becomes available at class level 3; it is not part of the level-1 mini-MVP gate. Its Not tested status is intentionally preserved for the later-level phase.</xltc:text>
  </xltc:threadedComment>
  <xltc:threadedComment ref="L127" dT="2026-09-01T01:26:10.761" personId="{C90FE812-FDF6-445A-9652-451D9E01352E}" id="{9B82B8C7-A20E-4429-B402-6E9A030B06A1}">
    <xltc:text>Checklist inventory correction: spell_slot_3 first becomes available at class level 5; it is not part of the level-1 mini-MVP gate. Its Not tested status is intentionally preserved for the later-level phase.</xltc:text>
  </xltc:threadedComment>
  <xltc:threadedComment ref="L128" dT="2026-09-01T01:26:10.761" personId="{C90FE812-FDF6-445A-9652-451D9E01352E}" id="{DE90C2FD-93FC-461F-AC30-200F3D78DC8C}">
    <xltc:text>Checklist inventory correction: spell_slot_4 first becomes available at class level 7; it is not part of the level-1 mini-MVP gate. Its Not tested status is intentionally preserved for the later-level phase.</xltc:text>
  </xltc:threadedComment>
  <xltc:threadedComment ref="L129" dT="2026-09-01T01:26:10.762" personId="{C90FE812-FDF6-445A-9652-451D9E01352E}" id="{DD48A05E-4164-4ABE-973D-357A0DF07FB0}">
    <xltc:text>Checklist inventory correction: spell_slot_5 first becomes available at class level 9; it is not part of the level-1 mini-MVP gate. Its Not tested status is intentionally preserved for the later-level phase.</xltc:text>
  </xltc:threadedComment>
  <xltc:threadedComment ref="L130" dT="2026-09-01T01:26:10.762" personId="{C90FE812-FDF6-445A-9652-451D9E01352E}" id="{FC95B23E-A980-402F-9FC1-02F7699D9103}">
    <xltc:text>Checklist inventory correction: spell_slot_6 first becomes available at class level 11; it is not part of the level-1 mini-MVP gate. Its Not tested status is intentionally preserved for the later-level phase.</xltc:text>
  </xltc:threadedComment>
  <xltc:threadedComment ref="L131" dT="2026-09-01T01:26:10.762" personId="{C90FE812-FDF6-445A-9652-451D9E01352E}" id="{B335CCCB-6DA6-4A96-AE2B-DCA6B119F60E}">
    <xltc:text>Checklist inventory correction: spell_slot_7 first becomes available at class level 13; it is not part of the level-1 mini-MVP gate. Its Not tested status is intentionally preserved for the later-level phase.</xltc:text>
  </xltc:threadedComment>
  <xltc:threadedComment ref="L132" dT="2026-09-01T01:26:10.763" personId="{C90FE812-FDF6-445A-9652-451D9E01352E}" id="{CB44C36A-C5CE-4DCC-806D-48D84CAC0961}">
    <xltc:text>Checklist inventory correction: spell_slot_8 first becomes available at class level 15; it is not part of the level-1 mini-MVP gate. Its Not tested status is intentionally preserved for the later-level phase.</xltc:text>
  </xltc:threadedComment>
  <xltc:threadedComment ref="L133" dT="2026-09-01T01:26:10.763" personId="{C90FE812-FDF6-445A-9652-451D9E01352E}" id="{643542C6-E084-45F6-AB59-7D5B041061A5}">
    <xltc:text>Checklist inventory correction: spell_slot_9 first becomes available at class level 17; it is not part of the level-1 mini-MVP gate. Its Not tested status is intentionally preserved for the later-level phase.</xltc:text>
  </xltc:threadedComment>
  <xltc:threadedComment ref="L134" dT="2026-09-01T01:26:10.763" personId="{C90FE812-FDF6-445A-9652-451D9E01352E}" id="{67D7A152-780E-4DCC-AFD7-DDF6F69F2B38}">
    <xltc:text>Checklist inventory correction: wild_shape first becomes available at class level 2; it is not part of the level-1 mini-MVP gate. Its Not tested status is intentionally preserved for the later-level phase.</xltc:text>
  </xltc:threadedComment>
  <xltc:threadedComment ref="L167" dT="2026-09-01T01:26:10.763" personId="{C90FE812-FDF6-445A-9652-451D9E01352E}" id="{2BEB1F1C-5D1E-4465-AFAB-83A12CBBB24D}">
    <xltc:text>Checklist inventory correction: spell_slot_2 first becomes available at class level 3; it is not part of the level-1 mini-MVP gate. Its Not tested status is intentionally preserved for the later-level phase.</xltc:text>
  </xltc:threadedComment>
  <xltc:threadedComment ref="L168" dT="2026-09-01T01:26:10.764" personId="{C90FE812-FDF6-445A-9652-451D9E01352E}" id="{6704613C-E8ED-419C-8B4A-A28067C9C457}">
    <xltc:text>Checklist inventory correction: spell_slot_3 first becomes available at class level 5; it is not part of the level-1 mini-MVP gate. Its Not tested status is intentionally preserved for the later-level phase.</xltc:text>
  </xltc:threadedComment>
  <xltc:threadedComment ref="L169" dT="2026-09-01T01:26:10.764" personId="{C90FE812-FDF6-445A-9652-451D9E01352E}" id="{89B325BE-3DFF-4212-9665-7614EBDB4A2D}">
    <xltc:text>Checklist inventory correction: spell_slot_4 first becomes available at class level 7; it is not part of the level-1 mini-MVP gate. Its Not tested status is intentionally preserved for the later-level phase.</xltc:text>
  </xltc:threadedComment>
  <xltc:threadedComment ref="L170" dT="2026-09-01T01:26:10.764" personId="{C90FE812-FDF6-445A-9652-451D9E01352E}" id="{4E611B13-2A3C-470C-B8EF-08B7A7BB12C2}">
    <xltc:text>Checklist inventory correction: spell_slot_5 first becomes available at class level 9; it is not part of the level-1 mini-MVP gate. Its Not tested status is intentionally preserved for the later-level phase.</xltc:text>
  </xltc:threadedComment>
  <xltc:threadedComment ref="L171" dT="2026-09-01T01:26:10.764" personId="{C90FE812-FDF6-445A-9652-451D9E01352E}" id="{333469C3-8404-4CCB-A397-B4FA30E1857C}">
    <xltc:text>Checklist inventory correction: spell_slot_6 first becomes available at class level 11; it is not part of the level-1 mini-MVP gate. Its Not tested status is intentionally preserved for the later-level phase.</xltc:text>
  </xltc:threadedComment>
  <xltc:threadedComment ref="L172" dT="2026-09-01T01:26:10.764" personId="{C90FE812-FDF6-445A-9652-451D9E01352E}" id="{6D3D9947-8251-4189-890C-A441BB213DAB}">
    <xltc:text>Checklist inventory correction: spell_slot_7 first becomes available at class level 13; it is not part of the level-1 mini-MVP gate. Its Not tested status is intentionally preserved for the later-level phase.</xltc:text>
  </xltc:threadedComment>
  <xltc:threadedComment ref="L173" dT="2026-09-01T01:26:10.764" personId="{C90FE812-FDF6-445A-9652-451D9E01352E}" id="{4CB45DFC-1E26-448D-A73C-410362D2D101}">
    <xltc:text>Checklist inventory correction: spell_slot_8 first becomes available at class level 15; it is not part of the level-1 mini-MVP gate. Its Not tested status is intentionally preserved for the later-level phase.</xltc:text>
  </xltc:threadedComment>
  <xltc:threadedComment ref="L174" dT="2026-09-01T01:26:10.764" personId="{C90FE812-FDF6-445A-9652-451D9E01352E}" id="{B43D615E-FAC8-49E2-9E9E-228C14E2CAA0}">
    <xltc:text>Checklist inventory correction: spell_slot_9 first becomes available at class level 17; it is not part of the level-1 mini-MVP gate. Its Not tested status is intentionally preserved for the later-level phase.</xltc:text>
  </xltc:threadedComment>
  <xltc:threadedComment ref="L206" dT="2026-09-01T01:26:10.764" personId="{C90FE812-FDF6-445A-9652-451D9E01352E}" id="{948F1286-C446-4883-89EA-18FB36D2E8E8}">
    <xltc:text>Checklist inventory correction: spell_slot_2 first becomes available at class level 3; it is not part of the level-1 mini-MVP gate. Its Not tested status is intentionally preserved for the later-level phase.</xltc:text>
  </xltc:threadedComment>
  <xltc:threadedComment ref="L207" dT="2026-09-01T01:26:10.765" personId="{C90FE812-FDF6-445A-9652-451D9E01352E}" id="{8BF883F8-23E5-473C-AC69-C8984E782EF5}">
    <xltc:text>Checklist inventory correction: spell_slot_3 first becomes available at class level 5; it is not part of the level-1 mini-MVP gate. Its Not tested status is intentionally preserved for the later-level phase.</xltc:text>
  </xltc:threadedComment>
  <xltc:threadedComment ref="L208" dT="2026-09-01T01:26:10.765" personId="{C90FE812-FDF6-445A-9652-451D9E01352E}" id="{0D815EF0-33F4-40CD-B3B1-96F2D141C1B2}">
    <xltc:text>Checklist inventory correction: spell_slot_4 first becomes available at class level 7; it is not part of the level-1 mini-MVP gate. Its Not tested status is intentionally preserved for the later-level phase.</xltc:text>
  </xltc:threadedComment>
  <xltc:threadedComment ref="L209" dT="2026-09-01T01:26:10.765" personId="{C90FE812-FDF6-445A-9652-451D9E01352E}" id="{5614F55A-C1A6-4507-A69F-35F6805DF767}">
    <xltc:text>Checklist inventory correction: spell_slot_5 first becomes available at class level 9; it is not part of the level-1 mini-MVP gate. Its Not tested status is intentionally preserved for the later-level phase.</xltc:text>
  </xltc:threadedComment>
  <xltc:threadedComment ref="L239" dT="2026-09-01T01:26:10.765" personId="{C90FE812-FDF6-445A-9652-451D9E01352E}" id="{BF4D2F5E-703E-4D45-8AD3-5882BC293980}">
    <xltc:text>Checklist inventory correction: focus first becomes available at class level 2; it is not part of the level-1 mini-MVP gate. Its Not tested status is intentionally preserved for the later-level phase.</xltc:text>
  </xltc:threadedComment>
  <xltc:threadedComment ref="L256" dT="2026-09-01T01:26:10.765" personId="{C90FE812-FDF6-445A-9652-451D9E01352E}" id="{B231BDD3-3DAD-4141-AF42-17937D12450C}">
    <xltc:text>Checklist inventory correction: spell_slot_2 first becomes available at class level 3; it is not part of the level-1 mini-MVP gate. Its Not tested status is intentionally preserved for the later-level phase.</xltc:text>
  </xltc:threadedComment>
  <xltc:threadedComment ref="L257" dT="2026-09-01T01:26:10.765" personId="{C90FE812-FDF6-445A-9652-451D9E01352E}" id="{1EFC6E99-BC14-4FEF-92E3-62ED69B9E930}">
    <xltc:text>Checklist inventory correction: spell_slot_3 first becomes available at class level 5; it is not part of the level-1 mini-MVP gate. Its Not tested status is intentionally preserved for the later-level phase.</xltc:text>
  </xltc:threadedComment>
  <xltc:threadedComment ref="L258" dT="2026-09-01T01:26:10.765" personId="{C90FE812-FDF6-445A-9652-451D9E01352E}" id="{7FA7C7FC-2E02-4724-A67F-F03412BB9FFA}">
    <xltc:text>Checklist inventory correction: spell_slot_4 first becomes available at class level 7; it is not part of the level-1 mini-MVP gate. Its Not tested status is intentionally preserved for the later-level phase.</xltc:text>
  </xltc:threadedComment>
  <xltc:threadedComment ref="L259" dT="2026-09-01T01:26:10.765" personId="{C90FE812-FDF6-445A-9652-451D9E01352E}" id="{7C5BB7BA-A359-4F70-8AA5-98E4D28F3C5F}">
    <xltc:text>Checklist inventory correction: spell_slot_5 first becomes available at class level 9; it is not part of the level-1 mini-MVP gate. Its Not tested status is intentionally preserved for the later-level phase.</xltc:text>
  </xltc:threadedComment>
  <xltc:threadedComment ref="L306" dT="2026-09-01T01:26:10.766" personId="{C90FE812-FDF6-445A-9652-451D9E01352E}" id="{61106A3D-45BD-475C-9DD1-8F80555A9289}">
    <xltc:text>Checklist inventory correction: spell_slot_2 first becomes available at class level 3; it is not part of the level-1 mini-MVP gate. Its Not tested status is intentionally preserved for the later-level phase.</xltc:text>
  </xltc:threadedComment>
  <xltc:threadedComment ref="L307" dT="2026-09-01T01:26:10.766" personId="{C90FE812-FDF6-445A-9652-451D9E01352E}" id="{6DB1218D-DFCB-4699-97DE-F687050D2908}">
    <xltc:text>Checklist inventory correction: spell_slot_3 first becomes available at class level 5; it is not part of the level-1 mini-MVP gate. Its Not tested status is intentionally preserved for the later-level phase.</xltc:text>
  </xltc:threadedComment>
  <xltc:threadedComment ref="L308" dT="2026-09-01T01:26:10.766" personId="{C90FE812-FDF6-445A-9652-451D9E01352E}" id="{CAB3C312-B6F9-4EC8-98AC-8A8958824095}">
    <xltc:text>Checklist inventory correction: spell_slot_4 first becomes available at class level 7; it is not part of the level-1 mini-MVP gate. Its Not tested status is intentionally preserved for the later-level phase.</xltc:text>
  </xltc:threadedComment>
  <xltc:threadedComment ref="L309" dT="2026-09-01T01:26:10.766" personId="{C90FE812-FDF6-445A-9652-451D9E01352E}" id="{E2F2A25F-33DE-4C29-9F66-E13409EB76CC}">
    <xltc:text>Checklist inventory correction: spell_slot_5 first becomes available at class level 9; it is not part of the level-1 mini-MVP gate. Its Not tested status is intentionally preserved for the later-level phase.</xltc:text>
  </xltc:threadedComment>
  <xltc:threadedComment ref="L342" dT="2026-09-01T01:26:10.766" personId="{C90FE812-FDF6-445A-9652-451D9E01352E}" id="{1AF4BE92-7B87-499B-9A83-9FA6C3423D33}">
    <xltc:text>Checklist inventory correction: sorcery_points first becomes available at class level 2; it is not part of the level-1 mini-MVP gate. Its Not tested status is intentionally preserved for the later-level phase.</xltc:text>
  </xltc:threadedComment>
  <xltc:threadedComment ref="L344" dT="2026-09-01T01:26:10.766" personId="{C90FE812-FDF6-445A-9652-451D9E01352E}" id="{4F5DE2D6-E78C-4D31-9932-703986E8395B}">
    <xltc:text>Checklist inventory correction: spell_slot_2 first becomes available at class level 3; it is not part of the level-1 mini-MVP gate. Its Not tested status is intentionally preserved for the later-level phase.</xltc:text>
  </xltc:threadedComment>
  <xltc:threadedComment ref="L345" dT="2026-09-01T01:26:10.766" personId="{C90FE812-FDF6-445A-9652-451D9E01352E}" id="{B05AEC38-40C6-427B-9298-EF9F19A4130A}">
    <xltc:text>Checklist inventory correction: spell_slot_3 first becomes available at class level 5; it is not part of the level-1 mini-MVP gate. Its Not tested status is intentionally preserved for the later-level phase.</xltc:text>
  </xltc:threadedComment>
  <xltc:threadedComment ref="L346" dT="2026-09-01T01:26:10.767" personId="{C90FE812-FDF6-445A-9652-451D9E01352E}" id="{D99AC548-BEEE-47DE-8492-92865A43FE6B}">
    <xltc:text>Checklist inventory correction: spell_slot_4 first becomes available at class level 7; it is not part of the level-1 mini-MVP gate. Its Not tested status is intentionally preserved for the later-level phase.</xltc:text>
  </xltc:threadedComment>
  <xltc:threadedComment ref="L347" dT="2026-09-01T01:26:10.767" personId="{C90FE812-FDF6-445A-9652-451D9E01352E}" id="{7544B3B4-595D-4033-8775-90240A0EFC7C}">
    <xltc:text>Checklist inventory correction: spell_slot_5 first becomes available at class level 9; it is not part of the level-1 mini-MVP gate. Its Not tested status is intentionally preserved for the later-level phase.</xltc:text>
  </xltc:threadedComment>
  <xltc:threadedComment ref="L348" dT="2026-09-01T01:26:10.767" personId="{C90FE812-FDF6-445A-9652-451D9E01352E}" id="{5720487D-780C-4978-AB47-B0637F20CBC2}">
    <xltc:text>Checklist inventory correction: spell_slot_6 first becomes available at class level 11; it is not part of the level-1 mini-MVP gate. Its Not tested status is intentionally preserved for the later-level phase.</xltc:text>
  </xltc:threadedComment>
  <xltc:threadedComment ref="L349" dT="2026-09-01T01:26:10.767" personId="{C90FE812-FDF6-445A-9652-451D9E01352E}" id="{EF6A75EA-520B-45BF-B9BA-B8C5D358FAA8}">
    <xltc:text>Checklist inventory correction: spell_slot_7 first becomes available at class level 13; it is not part of the level-1 mini-MVP gate. Its Not tested status is intentionally preserved for the later-level phase.</xltc:text>
  </xltc:threadedComment>
  <xltc:threadedComment ref="L350" dT="2026-09-01T01:26:10.767" personId="{C90FE812-FDF6-445A-9652-451D9E01352E}" id="{0748F546-689C-4A0D-98F4-883C85245596}">
    <xltc:text>Checklist inventory correction: spell_slot_8 first becomes available at class level 15; it is not part of the level-1 mini-MVP gate. Its Not tested status is intentionally preserved for the later-level phase.</xltc:text>
  </xltc:threadedComment>
  <xltc:threadedComment ref="L351" dT="2026-09-01T01:26:10.767" personId="{C90FE812-FDF6-445A-9652-451D9E01352E}" id="{7E1EF047-E39A-4B76-B3DD-4D615163EFAF}">
    <xltc:text>Checklist inventory correction: spell_slot_9 first becomes available at class level 17; it is not part of the level-1 mini-MVP gate. Its Not tested status is intentionally preserved for the later-level phase.</xltc:text>
  </xltc:threadedComment>
</xltc:ThreadedComments>
</file>

<file path=xl/threadedcomments/threadedcomment2.xml><?xml version="1.0" encoding="utf-8"?>
<xltc:ThreadedComments xmlns:xltc="http://schemas.microsoft.com/office/spreadsheetml/2018/threadedcomments">
  <xltc:threadedComment ref="M5" dT="2026-08-30T08:27:28.982" personId="{1D9085A8-5C6B-4D00-93EE-78B0D4A4BE04}" id="{382CAB03-3F5D-4284-B471-26F33C0A8C9D}">
    <xltc:text>After each browser test, record the observable result here. Add the full test evidence as a threaded cell comment and put every character UUID in the Character ID(s) column.</xltc:text>
  </xltc:threadedComment>
  <xltc:threadedComment ref="M10" dT="2026-08-30T10:19:22.497" personId="{C8119EBC-09D4-4F84-A83A-1C5D581842EC}" id="{9DCD9B5F-2D4C-4785-AB96-84E73B27FFD5}">
    <xltc:text>Production browser evidence, 2026-08-30. Release f601e00530c788ef3f7fe3076be9bf66d100208b. Sheet: PASS — Light is available and successfully created a persistent object-light effect. Combat: pending. Clarity: PASS — object form and active effect are visible. Character ID(s): 100eb271-ad36-4045-9aea-ef0d01a9e395.</xltc:text>
  </xltc:threadedComment>
  <xltc:threadedComment ref="M32" dT="2026-08-30T10:19:22.5" personId="{C8119EBC-09D4-4F84-A83A-1C5D581842EC}" id="{A471109D-E76A-4830-BBDE-1FAD72EA4172}">
    <xltc:text>Production browser evidence, 2026-08-30. Release f601e00530c788ef3f7fe3076be9bf66d100208b. Forge/sheet: PASS — Goliath was selected, created, and retained in the current ruleset; duplicate Athletics conflict was clearly blocked before creation. Ability use and combat: pending. Clarity: PASS for species selection/conflict. Character ID(s): 84e8c110-bbba-41be-85ef-9165c376d746.</xltc:text>
  </xltc:threadedComment>
  <xltc:threadedComment ref="M32" dT="2026-08-30T18:30:00.602" personId="{AA6D792C-703E-4324-9FAB-FAE8A31D6AD3}" id="{BB382646-EA68-4777-93B7-BC9E40205639}" parentId="{A471109D-E76A-4830-BBDE-1FAD72EA4172}">
    <xltc:text>Production evidence update, 2026-08-30. The retained level-1 Goliath has the correct 35-ft base speed and Stone Giant lineage. Stone Endurance passed end to end in combat. A separate defect exposed level-5 Large Form at level 1; releases a52c96d54cc641b5fcd594aad2a44f2c5e0629e2 and e7366bae834490394034e3276460df7b02cc9e93 repaired movement reconciliation and level gating. Other ancestry choices and Powerful Build remain pending, so the chassis stays Needs retest. Character ID(s): 84e8c110-bbba-41be-85ef-9165c376d746.</xltc:text>
  </xltc:threadedComment>
  <xltc:threadedComment ref="M57" dT="2026-08-30T10:19:22.504" personId="{C8119EBC-09D4-4F84-A83A-1C5D581842EC}" id="{6C9D56C5-4526-4F35-9783-BAA502B47F60}">
    <xltc:text>Production browser evidence, 2026-08-30. Release f601e00530c788ef3f7fe3076be9bf66d100208b. Forge/sheet: PASS — Stone Giant ancestry selection persisted on the retained character. Stone ancestry action and combat: pending. Clarity: PASS for selected lineage. Character ID(s): 84e8c110-bbba-41be-85ef-9165c376d746.</xltc:text>
  </xltc:threadedComment>
  <xltc:threadedComment ref="M57" dT="2026-08-30T18:30:00.624" personId="{AA6D792C-703E-4324-9FAB-FAE8A31D6AD3}" id="{137FD52B-91AB-4FF3-9838-6D4C6A1CC7AE}" parentId="{6C9D56C5-4526-4F35-9783-BAA502B47F60}">
    <xltc:text>Production evidence update, 2026-08-30. The retained Forge character preserved Stone Giant ancestry. Its granted Stone Endurance reaction was offered only after damage, resolved successfully, and persisted through reload with explicit dice, reduction, HP, reaction, and Giant Legacy charge. Character ID(s): 84e8c110-bbba-41be-85ef-9165c376d746.</xltc:text>
  </xltc:threadedComment>
  <xltc:threadedComment ref="M57" dT="2026-09-01T01:20:33.013" personId="{FF1943CB-075E-4E83-825B-F347F1550C32}" id="{C3303244-2D07-46BC-A358-A3E01D116129}" parentId="{6C9D56C5-4526-4F35-9783-BAA502B47F60}">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84e8c110-bbba-41be-85ef-9165c376d746.</xltc:text>
  </xltc:threadedComment>
  <xltc:threadedComment ref="M34" dT="2026-08-30T18:30:00.607" personId="{AA6D792C-703E-4324-9FAB-FAE8A31D6AD3}" id="{7699E303-B0BA-4D73-8D7C-B754FF32D7FA}">
    <xltc:text>Production browser evidence, 2026-08-30. Before e7366bae834490394034e3276460df7b02cc9e93, Large Form was wrongly offered and executable on this level-1 character. After e7366bae834490394034e3276460df7b02cc9e93, a reload removes it from the level-1 sheet's Actions and Features; the old combat snapshot remains reproducible but its historical action is aria-disabled with “Доступно с уровня 5”. Authoritative tests also reject a persisted owned level-5 action at level 1. Actual use at level 5 remains pending. Character ID(s): 84e8c110-bbba-41be-85ef-9165c376d746.</xltc:text>
  </xltc:threadedComment>
  <xltc:threadedComment ref="M40" dT="2026-08-30T18:30:00.613" personId="{AA6D792C-703E-4324-9FAB-FAE8A31D6AD3}" id="{6B0D3083-5E17-4F92-940A-40A4CEA62E63}">
    <xltc:text>Production browser evidence, 2026-08-30. Sheet: PASS — Stone Giant ancestry persisted on the retained character. Combat: PASS — after a 6 slashing hit, the matching Stone Endurance reaction was offered; choosing it rolled d12 1 + CON 2 = 3, reduced damage 6→3, changed HP 12/12→9/12, and spent reaction 1 plus giant_legacy 1. The next turn restored reaction to 1/1, and reload preserved HP, resources, and journal. Clarity: PASS. Character ID(s): 84e8c110-bbba-41be-85ef-9165c376d746.</xltc:text>
  </xltc:threadedComment>
  <xltc:threadedComment ref="M42" dT="2026-08-30T18:30:00.617" personId="{AA6D792C-703E-4324-9FAB-FAE8A31D6AD3}" id="{57175BE7-E70B-4D65-83BE-A62C80B7D193}">
    <xltc:text>Production browser evidence, 2026-08-30. The level-1 Goliath had giant_legacy 2/2 after long rest. Stone Endurance spent exactly one charge, leaving 1/2, while also spending the separate reaction. The current/max resource and journal attribution were visible and survived reload. Character ID(s): 84e8c110-bbba-41be-85ef-9165c376d746.</xltc:text>
  </xltc:threadedComment>
  <xltc:threadedComment ref="M43" dT="2026-08-30T18:30:00.62" personId="{AA6D792C-703E-4324-9FAB-FAE8A31D6AD3}" id="{7EFEFF83-A8EA-48EC-82C4-2FC1EF8DC7B8}">
    <xltc:text>Production evidence, 2026-08-30. The pre-fix level-1 exposure allowed a controlled mechanics probe: on a52c96d54cc641b5fcd594aad2a44f2c5e0629e2, Large Form changed movement 35→45 ft, a 40-ft move was accepted, 5 ft remained, and reload retained the position/effects/ledger. e7366bae834490394034e3276460df7b02cc9e93 then removed/disabled the feature below level 5. Clarity is PARTIAL: the combat journal distinguishes size and speed payloads, but the full-sheet active-effect list shows two identical “Большая форма · 10 ходов” rows. Correct level-5 activation remains pending. Character ID(s): 84e8c110-bbba-41be-85ef-9165c376d746.</xltc:text>
  </xltc:threadedComment>
  <xltc:threadedComment ref="M43" dT="2026-08-30T20:31:21.094" personId="{C3454A4C-2C1A-4A0C-83D3-0E69E654F031}" id="{8322842D-499C-412C-8BEC-703D86FC4F12}" parentId="{7EFEFF83-A8EA-48EC-82C4-2FC1EF8DC7B8}">
    <xltc:text>Production browser evidence update, 2026-08-30. Release ce3e43e5bd0c7669e6a7d39d390add2c7d46e080. The retained legacy Large Form payload is now grouped into one visible row instead of indistinguishable duplicates. Both the full sheet and the actual combat character drawer explain “Размер: на одну категорию больше.” and “Скорость: +10 фт.” Existing persisted mechanics evidence remains 35→45 speed, with a 40-ft move leaving 5 ft. Status remains Needs retest because correct acquisition and activation on a level-5 Goliath has not yet been exercised. Character ID: 84e8c110-bbba-41be-85ef-9165c376d746.</xltc:text>
  </xltc:threadedComment>
  <xltc:threadedComment ref="M58" dT="2026-08-30T18:30:00.628" personId="{AA6D792C-703E-4324-9FAB-FAE8A31D6AD3}" id="{03AD2012-C78E-40F8-BF01-BE1AFD62C4E4}">
    <xltc:text>Production browser evidence, 2026-08-30. Combat: PASS — Goblin Scimitar dealt a pending 6 slashing damage; Stone Endurance appeared in the reaction window. The retained Goliath rolled d12 1 + CON 2 = 3, reduced damage from 6 to 3, and ended at 9/12 HP. It spent reaction 1 and giant_legacy 1; the next Goliath turn restored reaction to 1/1 but kept the legacy charge spent. Reload preserved the state. Clarity: PASS — trigger, formula, dice, before/after damage, HP, and resources are visible. Character ID(s): 84e8c110-bbba-41be-85ef-9165c376d746.</xltc:text>
  </xltc:threadedComment>
  <xltc:threadedComment ref="M58" dT="2026-09-01T01:20:33.017" personId="{FF1943CB-075E-4E83-825B-F347F1550C32}" id="{A4FD17D6-3A2A-41D0-BCFD-3E0A1C10F5DB}" parentId="{03AD2012-C78E-40F8-BF01-BE1AFD62C4E4}">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84e8c110-bbba-41be-85ef-9165c376d746.</xltc:text>
  </xltc:threadedComment>
  <xltc:threadedComment ref="M62" dT="2026-08-30T21:56:57.042" personId="{31969BCB-1AF4-443D-B434-8DCB47502C31}" id="{4744E2D2-893D-4E26-953F-03D443004BA0}">
    <xltc:text>Production browser evidence, 2026-08-31. Release 330416f6dd3920a84c654bea304d775ebc0019fd. The retained Dwarf was created through Forge and remained usable on both the full character sheet and a retained combat scene. Chassis values were visible and durable: Medium character, speed 30 ft, darkvision 120 ft, and 15 maximum HP after Fighter level 1, Constitution, Dwarven Toughness, and the Tough origin feat were composed. Reloads preserved the character and combat state. Character ID(s): 467b52d2-3982-4c32-bbfa-f39cce69bcf0; ae8f3549-97a5-4c9d-b1e6-0b169d06d310.</xltc:text>
  </xltc:threadedComment>
  <xltc:threadedComment ref="M63" dT="2026-08-30T21:56:57.045" personId="{31969BCB-1AF4-443D-B434-8DCB47502C31}" id="{3F6FCAF7-8028-4244-9277-078AE1F672EA}">
    <xltc:text>Production browser evidence, 2026-08-31. Release 330416f6dd3920a84c654bea304d775ebc0019fd. Darkvision required no activation. The full sheet displayed “Тёмное зрение” as a permanent 120-ft sense, and the actual combat character drawer displayed “Тёмное зрение — 120 фт.” The value survived reload and is clear to the owner/observer. Character ID(s): 467b52d2-3982-4c32-bbfa-f39cce69bcf0; ae8f3549-97a5-4c9d-b1e6-0b169d06d310.</xltc:text>
  </xltc:threadedComment>
  <xltc:threadedComment ref="M64" dT="2026-08-30T21:56:57.05" personId="{31969BCB-1AF4-443D-B434-8DCB47502C31}" id="{A0FF1BF2-59F4-46F7-9A7E-8A031C75AB4F}">
    <xltc:text>Production browser evidence, 2026-08-31. Release 330416f6dd3920a84c654bea304d775ebc0019fd. The retained Dwarf exposes Dwarven Resilience on the full sheet, but this batch did not yet execute a poison saving throw or poison damage event. Status is Needs retest until advantage, resistance, the final damage calculation, and observer-facing explanation are exercised in combat. Character ID(s): 467b52d2-3982-4c32-bbfa-f39cce69bcf0; ae8f3549-97a5-4c9d-b1e6-0b169d06d310.</xltc:text>
  </xltc:threadedComment>
  <xltc:threadedComment ref="M64" dT="2026-08-31T00:41:21.266" personId="{D3E1FA72-ECF6-4808-9AA7-AD9E3CEE2DE7}" id="{B05A7D27-E2C6-47F1-90CF-2370590682D2}" parentId="{A0FF1BF2-59F4-46F7-9A7E-8A031C75AB4F}">
    <xltc:text>Production browser evidence update, 2026-08-31. Release afa3f6c30a96e29603a64d34ba09287610577b78. Dwarven Resilience now has direct poison-damage evidence: Poison Spray rolled 14 poison damage and the retained Dwarf reduced it to 7. The journal exposes the exact localized calculation “сопротивление (яд): 14 → 7”; prior Ray evidence likewise reduced 17 → 8. Status remains Needs retest only because the separate advantage-on-poison-saving-throws branch has not yet been exercised. Character ID(s): f8e7549a-fe5c-4347-9d90-a7e27bfe94b9; 8c450667-7ce4-4c81-a982-f7356cb8f7ab.</xltc:text>
  </xltc:threadedComment>
  <xltc:threadedComment ref="M64" dT="2026-08-31T00:59:32.689" personId="{56F54A25-B68A-4DFB-948A-32695E26D9BB}" id="{FF78D022-9AF1-4189-8D88-6AFD1639CEB6}" parentId="{A0FF1BF2-59F4-46F7-9A7E-8A031C75AB4F}">
    <xltc:text>Production browser evidence update, 2026-08-31. Release afa3f6c30a96e29603a64d34ba09287610577b78. The retained Dwarf's incoming poison-save control displayed “Входящий спас против «Отравленный» · преимущество”. The persisted result was “к20: 5 (отброшено 5) +4 Телосложение = 9 против СЛ 13 — провал”, followed by the applied Poisoned condition. This proves the trait is detected, rollD20 receives advantage, and the result is understandable. It also exposed a cross-cutting dice-plan defect: the deployed physical roller asked for only 1к20, so the second d20 came from an unobserved random fallback rather than an independently rolled visible die. Commit 2cc627e0 now plans two physical/manual d20s (and bonus dice) for incoming advantage/disadvantage saves. Status remains Needs retest until deployment proves two visible independent dice. Poison-damage resistance remains passed at 14→7. Character ID(s): f8e7549a-fe5c-4347-9d90-a7e27bfe94b9; 8c450667-7ce4-4c81-a982-f7356cb8f7ab.</xltc:text>
  </xltc:threadedComment>
  <xltc:threadedComment ref="M65" dT="2026-08-30T21:56:57.057" personId="{31969BCB-1AF4-443D-B434-8DCB47502C31}" id="{89346AA8-626F-42A1-8D5F-FA1260BD9DDB}">
    <xltc:text>Production browser evidence, 2026-08-31. Release 330416f6dd3920a84c654bea304d775ebc0019fd. Dwarven Toughness was selected through the Dwarf chassis and contributed its level-1 maximum-HP increase. The final 15 HP maximum matches Fighter base HP + Constitution + Dwarven Toughness + the retained Tough origin feat. Both the full sheet and combat hotbar showed 12/15 HP, and reload preserved it. Character ID(s): 467b52d2-3982-4c32-bbfa-f39cce69bcf0; ae8f3549-97a5-4c9d-b1e6-0b169d06d310.</xltc:text>
  </xltc:threadedComment>
  <xltc:threadedComment ref="M66" dT="2026-08-30T21:56:57.065" personId="{31969BCB-1AF4-443D-B434-8DCB47502C31}" id="{95CB2628-07F7-4262-AE16-BE4C176B09E7}">
    <xltc:text>Production browser evidence, 2026-08-31. Release 330416f6dd3920a84c654bea304d775ebc0019fd. Before repair, combat rejected Stonecunning with “requires explicit stone-surface contact facts”; no resource was spent. The release added the same four explicit choices to sheet and combat: stand on/touch natural or worked stone. Combat selection “Стою на обработанном камне” then spent exactly one bonus action and one Stonecunning use; sheet selection “Стою на природном камне” presented the choice before resource confirmation and spent only after confirmation. Both flows persisted through reload. Character ID(s): 467b52d2-3982-4c32-bbfa-f39cce69bcf0; ae8f3549-97a5-4c9d-b1e6-0b169d06d310.</xltc:text>
  </xltc:threadedComment>
  <xltc:threadedComment ref="M67" dT="2026-08-30T21:56:57.068" personId="{31969BCB-1AF4-443D-B434-8DCB47502C31}" id="{81F15162-9D31-48BC-967D-93D1C661F749}">
    <xltc:text>Production browser evidence, 2026-08-31. Release 330416f6dd3920a84c654bea304d775ebc0019fd. The Dwarven Resilience effect is present on the retained Dwarf, but its two runtime branches still require direct production evidence: a poison-related saving throw with advantage and a poison damage event reduced by resistance. It remains Needs retest rather than Passed. Character ID(s): 467b52d2-3982-4c32-bbfa-f39cce69bcf0; ae8f3549-97a5-4c9d-b1e6-0b169d06d310.</xltc:text>
  </xltc:threadedComment>
  <xltc:threadedComment ref="M67" dT="2026-08-31T00:41:21.268" personId="{D3E1FA72-ECF6-4808-9AA7-AD9E3CEE2DE7}" id="{EE91DFA3-4E00-4F1B-B1B6-13C0B0B5C400}" parentId="{81F15162-9D31-48BC-967D-93D1C661F749}">
    <xltc:text>Production browser evidence update, 2026-08-31. Release afa3f6c30a96e29603a64d34ba09287610577b78. The Dwarven Resilience effect applied its poison resistance during a real cross-character sheet action: 14 rolled poison damage became 7, and the recipient-facing journal named the resistance and both values. This closes the damage branch. The row remains Needs retest until a poison-related saving throw proves the advantage branch and its clarity. Character ID(s): f8e7549a-fe5c-4347-9d90-a7e27bfe94b9; 8c450667-7ce4-4c81-a982-f7356cb8f7ab.</xltc:text>
  </xltc:threadedComment>
  <xltc:threadedComment ref="M67" dT="2026-08-31T00:59:32.693" personId="{56F54A25-B68A-4DFB-948A-32695E26D9BB}" id="{DAD73CFB-E74B-4B8D-91D7-DD9BED20735B}" parentId="{81F15162-9D31-48BC-967D-93D1C661F749}">
    <xltc:text>Production browser evidence update, 2026-08-31. Release afa3f6c30a96e29603a64d34ba09287610577b78. The Dwarven Resilience effect correctly contributed advantage to a Constitution save that avoided Poisoned, and the saved journal exposed the kept/discarded structure plus modifier/DC/outcome. The deployed dice dialog nevertheless planned only one visible d20 and silently filled the second RNG value. Commit 2cc627e0 replaces that path with a shared two-d20 physical/manual plan and adds all applicable bonus dice. Keep Needs retest until the released UI visibly requests 2к20 and the two independent values reach the journal. Character ID(s): f8e7549a-fe5c-4347-9d90-a7e27bfe94b9; 8c450667-7ce4-4c81-a982-f7356cb8f7ab.</xltc:text>
  </xltc:threadedComment>
  <xltc:threadedComment ref="M68" dT="2026-08-30T21:56:57.07" personId="{31969BCB-1AF4-443D-B434-8DCB47502C31}" id="{523291D2-4E2C-4063-8907-178617A3D6DF}">
    <xltc:text>Production browser evidence, 2026-08-31. Release 330416f6dd3920a84c654bea304d775ebc0019fd. The Dwarven Toughness max-HP effect is applied to the authoritative character result rather than only displayed as prose. The retained level-1 Dwarf shows a consistent 15 maximum HP on the full sheet and in combat; the value and current 12/15 HP persisted across reloads. Character ID(s): 467b52d2-3982-4c32-bbfa-f39cce69bcf0; ae8f3549-97a5-4c9d-b1e6-0b169d06d310.</xltc:text>
  </xltc:threadedComment>
  <xltc:threadedComment ref="M69" dT="2026-08-30T21:56:57.074" personId="{31969BCB-1AF4-443D-B434-8DCB47502C31}" id="{35031B06-D21F-454D-8D92-5E63E03FE091}">
    <xltc:text>Production browser evidence, 2026-08-31. Release 330416f6dd3920a84c654bea304d775ebc0019fd. The Stonecunning grant_sense effect now executes with explicit canonical stonework facts on both surfaces. Combat logged the bonus-action/use spend and effect application; resource refresh in the scene constructor restored the Dwarf from 4/6 to 6/6 without recreating any actor and wrote an audit entry. Sheet and combat inspection show: “Чувство вибрации: 60 фт. (100 ходов); только по той же каменной поверхности; не обнаруживает существ в воздухе; не даёт видеть.” The effect and explanation survived reload. Character ID(s): 467b52d2-3982-4c32-bbfa-f39cce69bcf0; ae8f3549-97a5-4c9d-b1e6-0b169d06d310.</xltc:text>
  </xltc:threadedComment>
  <xltc:threadedComment ref="M70" dT="2026-08-30T21:56:57.081" personId="{31969BCB-1AF4-443D-B434-8DCB47502C31}" id="{4EB343A3-2451-4183-B612-4E894E88F86D}">
    <xltc:text>Production browser evidence, 2026-08-31. Release 330416f6dd3920a84c654bea304d775ebc0019fd. The darkvision grant_sense effect resolves into the effective-senses display on both the full sheet and the actual combat drawer. Both surfaces show a permanent 120-ft range, and the value remains after reload. Character ID(s): 467b52d2-3982-4c32-bbfa-f39cce69bcf0; ae8f3549-97a5-4c9d-b1e6-0b169d06d310.</xltc:text>
  </xltc:threadedComment>
  <xltc:threadedComment ref="M6" dT="2026-09-01T01:20:32.966" personId="{FF1943CB-075E-4E83-825B-F347F1550C32}" id="{9A16D9A7-7387-40BC-8543-5C99A6ACA67C}">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ltc:text>
  </xltc:threadedComment>
  <xltc:threadedComment ref="M9" dT="2026-09-01T01:20:32.968" personId="{FF1943CB-075E-4E83-825B-F347F1550C32}" id="{324D226D-CF2E-475F-AAC6-59BBE5474D1A}">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ltc:text>
  </xltc:threadedComment>
  <xltc:threadedComment ref="M12" dT="2026-09-01T01:20:32.971" personId="{FF1943CB-075E-4E83-825B-F347F1550C32}" id="{819CBD00-94CE-4054-9445-8211EA12CBC6}">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ltc:text>
  </xltc:threadedComment>
  <xltc:threadedComment ref="M15" dT="2026-09-01T01:20:32.975" personId="{FF1943CB-075E-4E83-825B-F347F1550C32}" id="{16F62D03-2F16-4920-827F-D0E0802EB7F5}">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ltc:text>
  </xltc:threadedComment>
  <xltc:threadedComment ref="M29" dT="2026-09-01T01:20:32.978" personId="{FF1943CB-075E-4E83-825B-F347F1550C32}" id="{21717FF7-E1BA-4A51-A95F-8E8406E6ABA9}">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ltc:text>
  </xltc:threadedComment>
  <xltc:threadedComment ref="M30" dT="2026-09-01T01:20:32.98" personId="{FF1943CB-075E-4E83-825B-F347F1550C32}" id="{A8B915CE-8FD5-4E9C-9328-82E26F3EF6AD}">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ltc:text>
  </xltc:threadedComment>
  <xltc:threadedComment ref="M31" dT="2026-09-01T01:20:32.982" personId="{FF1943CB-075E-4E83-825B-F347F1550C32}" id="{4E3C0E6B-DDF6-44BA-9E74-EF2910CF6B43}">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ltc:text>
  </xltc:threadedComment>
  <xltc:threadedComment ref="M45" dT="2026-09-01T01:20:32.984" personId="{FF1943CB-075E-4E83-825B-F347F1550C32}" id="{A975AACC-6E59-4AE9-BACB-183AEDE86BA2}">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ltc:text>
  </xltc:threadedComment>
  <xltc:threadedComment ref="M46" dT="2026-09-01T01:20:32.987" personId="{FF1943CB-075E-4E83-825B-F347F1550C32}" id="{6E4DF219-E0EC-4F4A-8869-E98FE3C340D0}">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ltc:text>
  </xltc:threadedComment>
  <xltc:threadedComment ref="M47" dT="2026-09-01T01:20:32.99" personId="{FF1943CB-075E-4E83-825B-F347F1550C32}" id="{D5903AB8-E0EF-44F1-884B-4D40535BE5D9}">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ltc:text>
  </xltc:threadedComment>
  <xltc:threadedComment ref="M48" dT="2026-09-01T01:20:32.992" personId="{FF1943CB-075E-4E83-825B-F347F1550C32}" id="{653795C0-DCF7-4FF4-A263-A893465DA031}">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ltc:text>
  </xltc:threadedComment>
  <xltc:threadedComment ref="M49" dT="2026-09-01T01:20:32.995" personId="{FF1943CB-075E-4E83-825B-F347F1550C32}" id="{1D02F8D7-A5D5-49E9-86AA-22109A062B2A}">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ltc:text>
  </xltc:threadedComment>
  <xltc:threadedComment ref="M50" dT="2026-09-01T01:20:32.996" personId="{FF1943CB-075E-4E83-825B-F347F1550C32}" id="{4570F82D-F635-40B1-8556-62EE95AE31C1}">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ltc:text>
  </xltc:threadedComment>
  <xltc:threadedComment ref="M51" dT="2026-09-01T01:20:32.998" personId="{FF1943CB-075E-4E83-825B-F347F1550C32}" id="{A9D4F4F4-82E2-4F90-AFFC-8A53349C1611}">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ltc:text>
  </xltc:threadedComment>
  <xltc:threadedComment ref="M52" dT="2026-09-01T01:20:33.001" personId="{FF1943CB-075E-4E83-825B-F347F1550C32}" id="{B520F035-8977-4C4C-9BE0-1969E4948C42}">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ltc:text>
  </xltc:threadedComment>
  <xltc:threadedComment ref="M53" dT="2026-09-01T01:20:33.004" personId="{FF1943CB-075E-4E83-825B-F347F1550C32}" id="{B41216D1-DBC3-4C89-A01E-799265978E99}">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ltc:text>
  </xltc:threadedComment>
  <xltc:threadedComment ref="M54" dT="2026-09-01T01:20:33.005" personId="{FF1943CB-075E-4E83-825B-F347F1550C32}" id="{5587BEA9-73E3-4C11-A31A-2EC947EC5658}">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ltc:text>
  </xltc:threadedComment>
  <xltc:threadedComment ref="M55" dT="2026-09-01T01:20:33.008" personId="{FF1943CB-075E-4E83-825B-F347F1550C32}" id="{BA534844-3DFA-4403-8891-9CBDC88725E3}">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ltc:text>
  </xltc:threadedComment>
  <xltc:threadedComment ref="M56" dT="2026-09-01T01:20:33.01" personId="{FF1943CB-075E-4E83-825B-F347F1550C32}" id="{31D365FD-3F6C-4665-A379-FD45C66AEB08}">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ltc:text>
  </xltc:threadedComment>
  <xltc:threadedComment ref="M59" dT="2026-09-01T01:20:33.02" personId="{FF1943CB-075E-4E83-825B-F347F1550C32}" id="{A4C6C547-7E62-4DF6-AE66-FB0E69B2CA1D}">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ltc:text>
  </xltc:threadedComment>
  <xltc:threadedComment ref="M60" dT="2026-09-01T01:20:33.024" personId="{FF1943CB-075E-4E83-825B-F347F1550C32}" id="{1C4FBDE9-800E-4AC2-907D-121EB8809784}">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ltc:text>
  </xltc:threadedComment>
  <xltc:threadedComment ref="M61" dT="2026-09-01T01:20:33.026" personId="{FF1943CB-075E-4E83-825B-F347F1550C32}" id="{BCDF8C05-6D83-43E9-94A5-8EF1D7482B71}">
    <xltc:text>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ltc:text>
  </xltc:threadedComment>
  <xltc:threadedComment ref="M71" dT="2026-09-01T01:20:33.027" personId="{FF1943CB-075E-4E83-825B-F347F1550C32}" id="{37AF49BA-98EF-4A22-B7CA-281E7A92624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2" dT="2026-09-01T01:20:33.03" personId="{FF1943CB-075E-4E83-825B-F347F1550C32}" id="{836CFF52-2DE2-4998-A377-90AAC22F3E5E}">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3" dT="2026-09-01T01:20:33.033" personId="{FF1943CB-075E-4E83-825B-F347F1550C32}" id="{9435AE14-1FA6-4074-ABD0-3082E822D385}">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4" dT="2026-09-01T01:20:33.036" personId="{FF1943CB-075E-4E83-825B-F347F1550C32}" id="{8F35DDD7-386A-4E6E-8ADE-D177F73E153E}">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6" dT="2026-09-01T01:20:33.038" personId="{FF1943CB-075E-4E83-825B-F347F1550C32}" id="{96AE0136-F624-4288-BCEC-1FC2C40681B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7" dT="2026-09-01T01:20:33.04" personId="{FF1943CB-075E-4E83-825B-F347F1550C32}" id="{5AE7CB9F-8C4E-4E06-B1A6-70D2C557575F}">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8" dT="2026-09-01T01:20:33.042" personId="{FF1943CB-075E-4E83-825B-F347F1550C32}" id="{C0F53D67-0EAD-4D8A-80D8-E3143B8B5480}">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79" dT="2026-09-01T01:20:33.045" personId="{FF1943CB-075E-4E83-825B-F347F1550C32}" id="{AAFEBB97-A2D6-41C3-83B2-AC8582A4AB2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0" dT="2026-09-01T01:20:33.049" personId="{FF1943CB-075E-4E83-825B-F347F1550C32}" id="{89E83359-E31D-4BD7-A3CF-616D9AE6BD93}">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1" dT="2026-09-01T01:20:33.051" personId="{FF1943CB-075E-4E83-825B-F347F1550C32}" id="{D712703D-2CD2-4C5E-A59D-2CADB249B426}">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2" dT="2026-09-01T01:20:33.053" personId="{FF1943CB-075E-4E83-825B-F347F1550C32}" id="{BF10A1CB-C1F6-464E-A526-C3B4EBE0C8A0}">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3" dT="2026-09-01T01:20:33.055" personId="{FF1943CB-075E-4E83-825B-F347F1550C32}" id="{493AE420-2C0F-4846-9D80-DE45C2A33314}">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4" dT="2026-09-01T01:20:33.057" personId="{FF1943CB-075E-4E83-825B-F347F1550C32}" id="{76E478A4-8565-4E74-802D-6F1C94271BE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5" dT="2026-09-01T01:20:33.059" personId="{FF1943CB-075E-4E83-825B-F347F1550C32}" id="{6CCF9707-3054-4262-B1A3-93E99A04C175}">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6" dT="2026-09-01T01:20:33.061" personId="{FF1943CB-075E-4E83-825B-F347F1550C32}" id="{8DBD37DD-E01C-4403-88A6-EE7685EF09B1}">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88" dT="2026-09-01T01:20:33.064" personId="{FF1943CB-075E-4E83-825B-F347F1550C32}" id="{52314068-2016-45C6-AFEB-A676FA099C1A}">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ltc:text>
  </xltc:threadedComment>
  <xltc:threadedComment ref="M89" dT="2026-09-01T01:20:33.065" personId="{FF1943CB-075E-4E83-825B-F347F1550C32}" id="{CEFF19EF-77E0-4EEE-84DF-18DF895DC4C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ltc:text>
  </xltc:threadedComment>
  <xltc:threadedComment ref="M90" dT="2026-09-01T01:20:33.067" personId="{FF1943CB-075E-4E83-825B-F347F1550C32}" id="{FA5D7C90-324E-416E-B80A-9427631C0845}">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ltc:text>
  </xltc:threadedComment>
  <xltc:threadedComment ref="M91" dT="2026-09-01T01:20:33.068" personId="{FF1943CB-075E-4E83-825B-F347F1550C32}" id="{628D7ECF-E4DD-44BB-A802-D13E558DD4AB}">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ltc:text>
  </xltc:threadedComment>
  <xltc:threadedComment ref="M92" dT="2026-09-01T01:20:33.072" personId="{FF1943CB-075E-4E83-825B-F347F1550C32}" id="{E112AD0E-BE43-416D-805E-FCA664FA1A59}">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ltc:text>
  </xltc:threadedComment>
  <xltc:threadedComment ref="M93" dT="2026-09-01T01:20:33.074" personId="{FF1943CB-075E-4E83-825B-F347F1550C32}" id="{766C70F3-709C-40FA-A73B-50B86C48C168}">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94" dT="2026-09-01T01:20:33.077" personId="{FF1943CB-075E-4E83-825B-F347F1550C32}" id="{BBC5F9B5-8EBA-46B8-8904-350CA03C32F9}">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95" dT="2026-09-01T01:20:33.079" personId="{FF1943CB-075E-4E83-825B-F347F1550C32}" id="{71728B3D-ECDC-4042-BB9F-477C0F932B4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96" dT="2026-09-01T01:20:33.08" personId="{FF1943CB-075E-4E83-825B-F347F1550C32}" id="{16ED0F26-2F77-431F-A285-7746E33D267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97" dT="2026-09-01T01:20:33.081" personId="{FF1943CB-075E-4E83-825B-F347F1550C32}" id="{7FC7AAA0-5847-450B-9062-9E234F25A890}">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ltc:text>
  </xltc:threadedComment>
  <xltc:threadedComment ref="M98" dT="2026-09-01T01:20:33.082" personId="{FF1943CB-075E-4E83-825B-F347F1550C32}" id="{20A38D6C-9206-49DB-A080-31C54F0ABA8C}">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ltc:text>
  </xltc:threadedComment>
  <xltc:threadedComment ref="M99" dT="2026-09-01T01:20:33.084" personId="{FF1943CB-075E-4E83-825B-F347F1550C32}" id="{7804ED74-37EA-48E6-8754-D8EEA83C4F2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ltc:text>
  </xltc:threadedComment>
  <xltc:threadedComment ref="M100" dT="2026-09-01T01:20:33.086" personId="{FF1943CB-075E-4E83-825B-F347F1550C32}" id="{5EA0274A-200B-4D89-AF85-3A842BD856D1}">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ltc:text>
  </xltc:threadedComment>
  <xltc:threadedComment ref="M101" dT="2026-09-01T01:20:33.087" personId="{FF1943CB-075E-4E83-825B-F347F1550C32}" id="{7A5F1F66-FF67-45B2-900C-B4F7832AEF38}">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ltc:text>
  </xltc:threadedComment>
  <xltc:threadedComment ref="M102" dT="2026-09-01T01:20:33.088" personId="{FF1943CB-075E-4E83-825B-F347F1550C32}" id="{E8B1859E-4089-4FBA-A664-67ED7EC1D52E}">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ltc:text>
  </xltc:threadedComment>
  <xltc:threadedComment ref="M103" dT="2026-09-01T01:20:33.09" personId="{FF1943CB-075E-4E83-825B-F347F1550C32}" id="{EB22A711-CB66-4A16-894C-E6009A19B33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ltc:text>
  </xltc:threadedComment>
  <xltc:threadedComment ref="M104" dT="2026-09-01T01:20:33.093" personId="{FF1943CB-075E-4E83-825B-F347F1550C32}" id="{4D3A5B48-548B-493B-92E1-8D6022130F5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ltc:text>
  </xltc:threadedComment>
  <xltc:threadedComment ref="M105" dT="2026-09-01T01:20:33.094" personId="{FF1943CB-075E-4E83-825B-F347F1550C32}" id="{2D1F4E94-1B29-4B54-9094-470A934AD9F4}">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ltc:text>
  </xltc:threadedComment>
  <xltc:threadedComment ref="M106" dT="2026-09-01T01:20:33.095" personId="{FF1943CB-075E-4E83-825B-F347F1550C32}" id="{6D9BAB02-02FC-4B87-B2A9-98E586943D92}">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ltc:text>
  </xltc:threadedComment>
  <xltc:threadedComment ref="M107" dT="2026-09-01T01:20:33.096" personId="{FF1943CB-075E-4E83-825B-F347F1550C32}" id="{1855DB51-77A8-4D54-B56F-4F0BBE3FFE3B}">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ltc:text>
  </xltc:threadedComment>
  <xltc:threadedComment ref="M108" dT="2026-09-01T01:20:33.099" personId="{FF1943CB-075E-4E83-825B-F347F1550C32}" id="{6EA78204-1631-4DE4-BD75-347E798A16C2}">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ltc:text>
  </xltc:threadedComment>
  <xltc:threadedComment ref="M109" dT="2026-09-01T01:20:33.1" personId="{FF1943CB-075E-4E83-825B-F347F1550C32}" id="{3DF59EC2-83D7-4A68-9E37-904DC0CAE20B}">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ltc:text>
  </xltc:threadedComment>
  <xltc:threadedComment ref="M110" dT="2026-09-01T01:20:33.102" personId="{FF1943CB-075E-4E83-825B-F347F1550C32}" id="{6B26A476-CAC1-42B9-959D-C64D7BB19AF0}">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ltc:text>
  </xltc:threadedComment>
  <xltc:threadedComment ref="M111" dT="2026-09-01T01:20:33.103" personId="{FF1943CB-075E-4E83-825B-F347F1550C32}" id="{A94D2AFA-2A7E-4047-8396-17289F468E46}">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ltc:text>
  </xltc:threadedComment>
  <xltc:threadedComment ref="M112" dT="2026-09-01T01:20:33.104" personId="{FF1943CB-075E-4E83-825B-F347F1550C32}" id="{300B211E-927E-498F-ADFC-5C8689C24195}">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ltc:text>
  </xltc:threadedComment>
  <xltc:threadedComment ref="M113" dT="2026-09-01T01:20:33.106" personId="{FF1943CB-075E-4E83-825B-F347F1550C32}" id="{7233EDFD-FE37-49A4-A218-FFD2F5E1A152}">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ltc:text>
  </xltc:threadedComment>
  <xltc:threadedComment ref="M114" dT="2026-09-01T01:20:33.108" personId="{FF1943CB-075E-4E83-825B-F347F1550C32}" id="{74F42981-0BE9-4B07-91D9-0FE0D5B856DE}">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ltc:text>
  </xltc:threadedComment>
  <xltc:threadedComment ref="M115" dT="2026-09-01T01:20:33.109" personId="{FF1943CB-075E-4E83-825B-F347F1550C32}" id="{5DE71D64-5E6B-40B6-BE27-BE03C3BA479A}">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ltc:text>
  </xltc:threadedComment>
  <xltc:threadedComment ref="M116" dT="2026-09-01T01:20:33.11" personId="{FF1943CB-075E-4E83-825B-F347F1550C32}" id="{CE49CE8A-F493-44AD-8D54-691756D808F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ltc:text>
  </xltc:threadedComment>
  <xltc:threadedComment ref="M117" dT="2026-09-01T01:20:33.112" personId="{FF1943CB-075E-4E83-825B-F347F1550C32}" id="{B57F7366-E6FD-44F5-A627-158FC174636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ltc:text>
  </xltc:threadedComment>
  <xltc:threadedComment ref="M118" dT="2026-09-01T01:20:33.113" personId="{FF1943CB-075E-4E83-825B-F347F1550C32}" id="{E9FA0C16-2DB8-4C61-A5DA-BEE71EB39D7F}">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ltc:text>
  </xltc:threadedComment>
  <xltc:threadedComment ref="M119" dT="2026-09-01T01:20:33.115" personId="{FF1943CB-075E-4E83-825B-F347F1550C32}" id="{430C3B58-897F-4BB9-92CB-102E21508FEA}">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ltc:text>
  </xltc:threadedComment>
  <xltc:threadedComment ref="M120" dT="2026-09-01T01:20:33.116" personId="{FF1943CB-075E-4E83-825B-F347F1550C32}" id="{F4E0AF4B-DFF5-48D6-8C48-F105EDFD22E3}">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ltc:text>
  </xltc:threadedComment>
  <xltc:threadedComment ref="M121" dT="2026-09-01T01:20:33.118" personId="{FF1943CB-075E-4E83-825B-F347F1550C32}" id="{E17BF269-5ECB-4677-9A50-B7A3F1FB0873}">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ltc:text>
  </xltc:threadedComment>
  <xltc:threadedComment ref="M122" dT="2026-09-01T01:20:33.12" personId="{FF1943CB-075E-4E83-825B-F347F1550C32}" id="{15E587FA-1834-44AA-8AF8-0BCEAE949527}">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ltc:text>
  </xltc:threadedComment>
  <xltc:threadedComment ref="M123" dT="2026-09-01T01:20:33.121" personId="{FF1943CB-075E-4E83-825B-F347F1550C32}" id="{AEB3C349-4E6D-432D-AAB2-070EBB4A0F8E}">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ltc:text>
  </xltc:threadedComment>
  <xltc:threadedComment ref="M124" dT="2026-09-01T01:20:33.123" personId="{FF1943CB-075E-4E83-825B-F347F1550C32}" id="{00923F6E-E503-4C93-8AD7-3F2AC2F68298}">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ltc:text>
  </xltc:threadedComment>
  <xltc:threadedComment ref="M125" dT="2026-09-01T01:20:33.125" personId="{FF1943CB-075E-4E83-825B-F347F1550C32}" id="{9E9244A1-E627-41C6-A3C0-458E8E66AC34}">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ltc:text>
  </xltc:threadedComment>
  <xltc:threadedComment ref="M126" dT="2026-09-01T01:20:33.126" personId="{FF1943CB-075E-4E83-825B-F347F1550C32}" id="{77E58D45-A8E7-472D-A9E0-16BE518671D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ltc:text>
  </xltc:threadedComment>
  <xltc:threadedComment ref="M127" dT="2026-09-01T01:20:33.128" personId="{FF1943CB-075E-4E83-825B-F347F1550C32}" id="{596CEFDE-A054-4CAF-9B10-61242ECC5206}">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ltc:text>
  </xltc:threadedComment>
  <xltc:threadedComment ref="M128" dT="2026-09-01T01:20:33.129" personId="{FF1943CB-075E-4E83-825B-F347F1550C32}" id="{A9768C27-32A9-45C2-B8D2-A0DEBD1643E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ltc:text>
  </xltc:threadedComment>
  <xltc:threadedComment ref="M129" dT="2026-09-01T01:20:33.13" personId="{FF1943CB-075E-4E83-825B-F347F1550C32}" id="{438FE374-6C47-468F-AC3F-B94D4127CE36}">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ltc:text>
  </xltc:threadedComment>
  <xltc:threadedComment ref="M130" dT="2026-09-01T01:20:33.131" personId="{FF1943CB-075E-4E83-825B-F347F1550C32}" id="{0F211FB4-70B1-4215-929B-F5D03436BBFA}">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ltc:text>
  </xltc:threadedComment>
  <xltc:threadedComment ref="M131" dT="2026-09-01T01:20:33.133" personId="{FF1943CB-075E-4E83-825B-F347F1550C32}" id="{C116FBB3-8E58-4EBD-92AE-15300E661292}">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ltc:text>
  </xltc:threadedComment>
  <xltc:threadedComment ref="M132" dT="2026-09-01T01:20:33.134" personId="{FF1943CB-075E-4E83-825B-F347F1550C32}" id="{2B3B0F2D-8E4A-4E70-9158-CC506B5C469D}">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ltc:text>
  </xltc:threadedComment>
  <xltc:threadedComment ref="M133" dT="2026-09-01T01:20:33.135" personId="{FF1943CB-075E-4E83-825B-F347F1550C32}" id="{A198E68A-FC4D-4653-B8C4-9BF7B908DA20}">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ltc:text>
  </xltc:threadedComment>
  <xltc:threadedComment ref="M134" dT="2026-09-01T01:20:33.136" personId="{FF1943CB-075E-4E83-825B-F347F1550C32}" id="{673B4244-0F19-4737-99DE-997B9AEB8C9B}">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ltc:text>
  </xltc:threadedComment>
  <xltc:threadedComment ref="M135" dT="2026-09-01T01:20:33.138" personId="{FF1943CB-075E-4E83-825B-F347F1550C32}" id="{E400427E-6472-4213-9F3A-83FD30DF9159}">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ltc:text>
  </xltc:threadedComment>
  <xltc:threadedComment ref="M136" dT="2026-09-01T01:20:33.141" personId="{FF1943CB-075E-4E83-825B-F347F1550C32}" id="{89B2E482-03BF-4C43-8B56-52CC0640EAE3}">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ltc:text>
  </xltc:threadedComment>
  <xltc:threadedComment ref="M137" dT="2026-09-01T01:20:33.142" personId="{FF1943CB-075E-4E83-825B-F347F1550C32}" id="{463B77C9-A060-4B59-851D-E6610F963BF8}">
    <xltc:text>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ltc:text>
  </xltc:threadedComment>
  <xltc:threadedComment ref="M138" dT="2026-09-01T01:20:33.143" personId="{FF1943CB-075E-4E83-825B-F347F1550C32}" id="{403A503A-4747-4BD7-A020-9C596E8B8DE5}">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39" dT="2026-09-01T01:20:33.146" personId="{FF1943CB-075E-4E83-825B-F347F1550C32}" id="{B014BDE7-2723-4588-8025-C9C1A0ABF04F}">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0" dT="2026-09-01T01:20:33.148" personId="{FF1943CB-075E-4E83-825B-F347F1550C32}" id="{F6592F90-6658-4072-8F9C-7519A33A941A}">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1" dT="2026-09-01T01:20:33.15" personId="{FF1943CB-075E-4E83-825B-F347F1550C32}" id="{90AE0A08-C0FC-4275-80E6-3C6355F14CB6}">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2" dT="2026-09-01T01:20:33.151" personId="{FF1943CB-075E-4E83-825B-F347F1550C32}" id="{D5D7A238-DEFA-48CF-B692-581213F477B9}">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3" dT="2026-09-01T01:20:33.155" personId="{FF1943CB-075E-4E83-825B-F347F1550C32}" id="{7EE396DB-AA18-437F-AB84-37816B024475}">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4" dT="2026-09-01T01:20:33.156" personId="{FF1943CB-075E-4E83-825B-F347F1550C32}" id="{22B3C5C2-077B-45FD-9B4B-6E2CF4A58F9A}">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ltc:text>
  </xltc:threadedComment>
  <xltc:threadedComment ref="M145" dT="2026-09-01T01:20:33.157" personId="{FF1943CB-075E-4E83-825B-F347F1550C32}" id="{4727EC7C-8013-4458-B061-B255CDB1C99B}">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46" dT="2026-09-01T01:20:33.158" personId="{FF1943CB-075E-4E83-825B-F347F1550C32}" id="{8CF727BB-EEA4-4D21-8FFE-63A91E2ED284}">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47" dT="2026-09-01T01:20:33.161" personId="{FF1943CB-075E-4E83-825B-F347F1550C32}" id="{9EF6F086-885A-4CCB-8C37-4B59F6A31C2E}">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48" dT="2026-09-01T01:20:33.162" personId="{FF1943CB-075E-4E83-825B-F347F1550C32}" id="{FCFA64EE-BA71-4041-ABB4-3EC823B76F3D}">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49" dT="2026-09-01T01:20:33.164" personId="{FF1943CB-075E-4E83-825B-F347F1550C32}" id="{1DB3A446-D905-4D5C-B19B-E1BE471D2B10}">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50" dT="2026-09-01T01:20:33.165" personId="{FF1943CB-075E-4E83-825B-F347F1550C32}" id="{D4B1BD70-FC98-4E23-A4F2-C09FA9F6E0FD}">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51" dT="2026-09-01T01:20:33.168" personId="{FF1943CB-075E-4E83-825B-F347F1550C32}" id="{65B32860-4EEC-40E2-9A4D-34919DDDE748}">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52" dT="2026-09-01T01:20:33.17" personId="{FF1943CB-075E-4E83-825B-F347F1550C32}" id="{99E34576-EA7D-4429-9C17-301A348EA22C}">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53" dT="2026-09-01T01:20:33.171" personId="{FF1943CB-075E-4E83-825B-F347F1550C32}" id="{D09E181C-1E22-43D9-897F-094ACE450D3F}">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ltc:text>
  </xltc:threadedComment>
  <xltc:threadedComment ref="M154" dT="2026-09-01T01:20:33.172" personId="{FF1943CB-075E-4E83-825B-F347F1550C32}" id="{5112FB51-CB65-47F9-908A-25A68909F4F0}">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55" dT="2026-09-01T01:20:33.174" personId="{FF1943CB-075E-4E83-825B-F347F1550C32}" id="{699F32A1-0E63-4526-9D82-34CA727F04E7}">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56" dT="2026-09-01T01:20:33.176" personId="{FF1943CB-075E-4E83-825B-F347F1550C32}" id="{B45A85D6-1F82-4D3A-ADA3-CF0904C33219}">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57" dT="2026-09-01T01:20:33.178" personId="{FF1943CB-075E-4E83-825B-F347F1550C32}" id="{9C96E8CF-A414-4C09-B3F7-8BD2AE6FEE0D}">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58" dT="2026-09-01T01:20:33.179" personId="{FF1943CB-075E-4E83-825B-F347F1550C32}" id="{C320C7D8-EBA4-4BFA-A912-1C3D9824C6B0}">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59" dT="2026-09-01T01:20:33.181" personId="{FF1943CB-075E-4E83-825B-F347F1550C32}" id="{B8AF64B0-A3C4-4152-8EC4-93E035AB9813}">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60" dT="2026-09-01T01:20:33.182" personId="{FF1943CB-075E-4E83-825B-F347F1550C32}" id="{F784732E-10E3-472C-BDC8-974308599076}">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61" dT="2026-09-01T01:20:33.183" personId="{FF1943CB-075E-4E83-825B-F347F1550C32}" id="{332136E1-11D2-4F6A-B736-05C34EFE9CE1}">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62" dT="2026-09-01T01:20:33.185" personId="{FF1943CB-075E-4E83-825B-F347F1550C32}" id="{2113F266-99D3-41C3-9CDC-95340E305A1B}">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63" dT="2026-09-01T01:20:33.187" personId="{FF1943CB-075E-4E83-825B-F347F1550C32}" id="{3C4910F1-165E-4A9E-9331-F2468861B53D}">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ltc:text>
  </xltc:threadedComment>
  <xltc:threadedComment ref="M164" dT="2026-09-01T01:20:33.189" personId="{FF1943CB-075E-4E83-825B-F347F1550C32}" id="{7D7C2754-8D15-4F1E-BB46-E4BA5CB797B3}">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ltc:text>
  </xltc:threadedComment>
  <xltc:threadedComment ref="M165" dT="2026-09-01T01:20:33.191" personId="{FF1943CB-075E-4E83-825B-F347F1550C32}" id="{A9F3D8FE-CC2D-4E86-AA74-5B51D99EDD50}">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ltc:text>
  </xltc:threadedComment>
  <xltc:threadedComment ref="M168" dT="2026-09-01T01:20:33.192" personId="{FF1943CB-075E-4E83-825B-F347F1550C32}" id="{7B8CB9BF-A8D4-4CB0-9192-188F5CF70A12}">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ltc:text>
  </xltc:threadedComment>
  <xltc:threadedComment ref="M169" dT="2026-09-01T01:20:33.193" personId="{FF1943CB-075E-4E83-825B-F347F1550C32}" id="{79BADAA2-D3F4-4F8F-A02C-98F78A5F1713}">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ltc:text>
  </xltc:threadedComment>
  <xltc:threadedComment ref="M170" dT="2026-09-01T01:20:33.196" personId="{FF1943CB-075E-4E83-825B-F347F1550C32}" id="{D0BF1F76-053E-4855-8E61-B3825BCB66B3}">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ltc:text>
  </xltc:threadedComment>
  <xltc:threadedComment ref="M173" dT="2026-09-01T01:20:33.197" personId="{FF1943CB-075E-4E83-825B-F347F1550C32}" id="{15FD8487-C307-41A0-BC7F-EA5360115D1A}">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ltc:text>
  </xltc:threadedComment>
  <xltc:threadedComment ref="M174" dT="2026-09-01T01:20:33.198" personId="{FF1943CB-075E-4E83-825B-F347F1550C32}" id="{B274CA9C-3002-4624-8A01-D486AB3B2632}">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ltc:text>
  </xltc:threadedComment>
  <xltc:threadedComment ref="M175" dT="2026-09-01T01:20:33.201" personId="{FF1943CB-075E-4E83-825B-F347F1550C32}" id="{8356962A-0A23-4298-96BA-3BE01A196B4B}">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ltc:text>
  </xltc:threadedComment>
  <xltc:threadedComment ref="M178" dT="2026-09-01T01:20:33.203" personId="{FF1943CB-075E-4E83-825B-F347F1550C32}" id="{F30AF278-ACFA-4232-B6C9-EBB04F133E3D}">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ltc:text>
  </xltc:threadedComment>
  <xltc:threadedComment ref="M179" dT="2026-09-01T01:20:33.204" personId="{FF1943CB-075E-4E83-825B-F347F1550C32}" id="{2932E5AC-CB65-4220-9823-5C4A056B16A2}">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0" dT="2026-09-01T01:20:33.205" personId="{FF1943CB-075E-4E83-825B-F347F1550C32}" id="{FD7649CF-6E50-42B6-AA5A-A4DC2EF99DA5}">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1" dT="2026-09-01T01:20:33.206" personId="{FF1943CB-075E-4E83-825B-F347F1550C32}" id="{DF2A5F7B-DA8C-47B7-ADBB-F18E3E234FE4}">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2" dT="2026-09-01T01:20:33.208" personId="{FF1943CB-075E-4E83-825B-F347F1550C32}" id="{C0FB36EC-A1FE-440D-BF85-9FB5A106F77B}">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3" dT="2026-09-01T01:20:33.21" personId="{FF1943CB-075E-4E83-825B-F347F1550C32}" id="{8B9E5B88-2572-41B0-B0F9-9E141FADC43A}">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4" dT="2026-09-01T01:20:33.211" personId="{FF1943CB-075E-4E83-825B-F347F1550C32}" id="{BF35758A-68AA-49AE-B4AA-B201B9FCD2A9}">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5" dT="2026-09-01T01:20:33.213" personId="{FF1943CB-075E-4E83-825B-F347F1550C32}" id="{5175F574-1CE7-4D33-8EC4-2C9DE7472CD5}">
    <xltc:text>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ltc:text>
  </xltc:threadedComment>
  <xltc:threadedComment ref="M186" dT="2026-09-01T01:20:33.214" personId="{FF1943CB-075E-4E83-825B-F347F1550C32}" id="{A919260C-4642-406F-B02A-76E3B6F2D783}">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87" dT="2026-09-01T01:20:33.216" personId="{FF1943CB-075E-4E83-825B-F347F1550C32}" id="{0A354BEF-BC22-4357-9A78-5D4E3359C599}">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88" dT="2026-09-01T01:20:33.218" personId="{FF1943CB-075E-4E83-825B-F347F1550C32}" id="{A4A21E64-796E-4868-8FA3-7686BE72E115}">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89" dT="2026-09-01T01:20:33.219" personId="{FF1943CB-075E-4E83-825B-F347F1550C32}" id="{90D6C4DE-79F8-4DF3-8461-6D07F28B4EDD}">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0" dT="2026-09-01T01:20:33.221" personId="{FF1943CB-075E-4E83-825B-F347F1550C32}" id="{FBA8F9DE-CAA0-44CA-A4C3-488B273CE874}">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1" dT="2026-09-01T01:20:33.223" personId="{FF1943CB-075E-4E83-825B-F347F1550C32}" id="{6C77C7A8-D709-4895-BF9D-66DFBB2D0527}">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2" dT="2026-09-01T01:20:33.225" personId="{FF1943CB-075E-4E83-825B-F347F1550C32}" id="{F8E6A2F6-132C-4C15-85D5-E66AD9BCB68F}">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3" dT="2026-09-01T01:20:33.227" personId="{FF1943CB-075E-4E83-825B-F347F1550C32}" id="{A683B0E7-3CBB-4505-9171-AFA3B88BC00F}">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4" dT="2026-09-01T01:20:33.228" personId="{FF1943CB-075E-4E83-825B-F347F1550C32}" id="{C4D73A74-716C-41DE-A387-58DB08C6CFF1}">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5" dT="2026-09-01T01:20:33.23" personId="{FF1943CB-075E-4E83-825B-F347F1550C32}" id="{532B0E73-6902-4105-BF18-32444A841D41}">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6" dT="2026-09-01T01:20:33.232" personId="{FF1943CB-075E-4E83-825B-F347F1550C32}" id="{F8495B53-1B6C-4CFA-98C1-001C4C94E539}">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ltc:text>
  </xltc:threadedComment>
  <xltc:threadedComment ref="M197" dT="2026-09-01T01:20:33.233" personId="{FF1943CB-075E-4E83-825B-F347F1550C32}" id="{87DF1351-1157-4747-836D-5D4813A25191}">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ltc:text>
  </xltc:threadedComment>
  <xltc:threadedComment ref="M198" dT="2026-09-01T01:20:33.235" personId="{FF1943CB-075E-4E83-825B-F347F1550C32}" id="{4DCE6478-AC3D-4C88-AA18-F1D82DFF1BA9}">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ltc:text>
  </xltc:threadedComment>
  <xltc:threadedComment ref="M201" dT="2026-09-01T01:20:33.237" personId="{FF1943CB-075E-4E83-825B-F347F1550C32}" id="{605F9EE8-A655-4781-AB43-0058B37D8B3C}">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ltc:text>
  </xltc:threadedComment>
  <xltc:threadedComment ref="M202" dT="2026-09-01T01:20:33.239" personId="{FF1943CB-075E-4E83-825B-F347F1550C32}" id="{B0D01D43-2A75-4692-8CEC-032D11BDD7A9}">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ltc:text>
  </xltc:threadedComment>
  <xltc:threadedComment ref="M203" dT="2026-09-01T01:20:33.24" personId="{FF1943CB-075E-4E83-825B-F347F1550C32}" id="{BA0C1689-9366-4894-BF48-E48DF81F7CE8}">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ltc:text>
  </xltc:threadedComment>
  <xltc:threadedComment ref="M206" dT="2026-09-01T01:20:33.241" personId="{FF1943CB-075E-4E83-825B-F347F1550C32}" id="{570C80DF-C234-4F80-805C-7ECBA43A9453}">
    <xltc:text>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ltc:text>
  </xltc:threadedComment>
  <xltc:threadedComment ref="M207" dT="2026-09-01T01:20:33.243" personId="{FF1943CB-075E-4E83-825B-F347F1550C32}" id="{F5CA37FF-1BF9-474B-B8EC-0FE4ED162A25}">
    <xltc:text>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ltc:text>
  </xltc:threadedComment>
  <xltc:threadedComment ref="M208" dT="2026-09-01T01:20:33.246" personId="{FF1943CB-075E-4E83-825B-F347F1550C32}" id="{3E14325C-19ED-477F-AD24-E9E9F946AD08}">
    <xltc:text>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ltc:text>
  </xltc:threadedComment>
  <xltc:threadedComment ref="M211" dT="2026-09-01T01:20:33.248" personId="{FF1943CB-075E-4E83-825B-F347F1550C32}" id="{1D563E7E-01D9-4E2D-A07B-8CC1A32DFE14}">
    <xltc:text>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ltc:text>
  </xltc:threadedComment>
</xltc:ThreadedComments>
</file>

<file path=xl/threadedcomments/threadedcomment3.xml><?xml version="1.0" encoding="utf-8"?>
<xltc:ThreadedComments xmlns:xltc="http://schemas.microsoft.com/office/spreadsheetml/2018/threadedcomments">
  <xltc:threadedComment ref="L5" dT="2026-08-30T08:27:29.039" personId="{1D9085A8-5C6B-4D00-93EE-78B0D4A4BE04}" id="{8CA46E90-DABA-49AE-831C-9D7E4B5BBEE0}">
    <xltc:text>After each browser test, record the observable result here. Add the full test evidence as a threaded cell comment and put every character UUID in the Character ID(s) column.</xltc:text>
  </xltc:threadedComment>
  <xltc:threadedComment ref="L7" dT="2026-08-30T10:19:22.506" personId="{C8119EBC-09D4-4F84-A83A-1C5D581842EC}" id="{AE3517B0-159E-4FA6-B758-733C03627692}">
    <xltc:text>Production browser evidence, 2026-08-30. Release f601e00530c788ef3f7fe3076be9bf66d100208b. Sheet: PASS — Mage Hand activated, consumed only the action, created a visible active effect, and produced a clear journal entry. Combat: pending. Clarity: PASS for summon state; physical world interaction remains manually adjudicated. Character ID(s): 100eb271-ad36-4045-9aea-ef0d01a9e395.</xltc:text>
  </xltc:threadedComment>
  <xltc:threadedComment ref="L7" dT="2026-08-31T01:24:00.348" personId="{1AD080DC-E01F-4170-AA82-336E1722B12D}" id="{9301D7FB-83AE-43B8-990A-03CF3ED49C89}" parentId="{AE3517B0-159E-4FA6-B758-733C03627692}">
    <xltc:text>Production browser evidence update, 2026-08-31. Release afa3f6c30a96e29603a64d34ba09287610577b78. The retained Drow cast Mage Hand in both the dedicated combat and full-sheet surfaces. Each cast spent exactly one action, spent no spell slot, created the persisted “Волшебная рука” effect, and produced a journal entry. Clarity/usage defect: production offered no way to select an object or issue any permitted follow-up command; its journal exposed the internal phrase “world_interaction” and said the scene adapter remained responsible. Commit ac12285 connects the existing rules-engine validator to a shared sheet/combat dialog. It collects operation, object, distance, weight, and move distance; rejects forbidden/out-of-range/overweight commands through the engine; spends the next action; persists a structured scene event; and renders a readable Russian journal line. Content migration 122 replaces the internal adapter note with player instructions. Focused frontend verification passed 11/11, the full migration package passed, script planner tests passed, lint passed, and TypeScript passed. Status remains Needs retest until Timecloud deployment and production browser confirmation. Character ID(s): f8e7549a-fe5c-4347-9d90-a7e27bfe94b9.</xltc:text>
  </xltc:threadedComment>
  <xltc:threadedComment ref="L7" dT="2026-08-31T05:47:28.639" personId="{75097AD2-9329-4C4D-AF1E-9F695C252F9F}" id="{66001F9F-2160-4091-AF1A-0281140729A3}" parentId="{AE3517B0-159E-4FA6-B758-733C03627692}">
    <xltc:text>Additional production browser evidence, 2026-08-31. Release afa3f6c30a96e29603a64d34ba09287610577b78. Retained Dragonborn Wizard 89f8fefe-acf2-45bc-86e1-960d8cb49188. Combat: the sheet-equivalent hover clearly described the 30-foot summon, one-minute duration, 30-foot-per-control movement, allowed interactions, 10-pound limit, and forbidden attacks/magic-item activation. Casting at an adjacent empty cell took exactly one action (1→0), spent no spell slot, created a 10-round “Волшебная рука” effect, and persisted to the full sheet. The combat journal stated that the engine validates action/range/weight but that object selection/world interaction remained the scene adapter's responsibility. After scene-constructor resource refresh, no follow-up control was available in the deployed combat inspector. Sheet: recasting from the full character sheet also spent exactly one action, no slot, replaced/retained one 10-round effect, and wrote the effect/resource journal; the deployed active-effect list again showed only name, 10 turns, and manual removal. Commit ac12285, which is newer than this release, adds the shared “Управлять рукой” form to sheet and combat, validates operation/distance/weight/movement, spends the next action, and saves a readable interaction event. Production retest must verify that form and observer clarity. The tactical map still does not show a hand position, so position clarity remains pending rather than Passed. Character ID(s): 89f8fefe-acf2-45bc-86e1-960d8cb49188; earlier retained evidence: f8e7549a-fe5c-4347-9d90-a7e27bfe94b9.</xltc:text>
  </xltc:threadedComment>
  <xltc:threadedComment ref="L7" dT="2026-08-31T06:09:35.518" personId="{7A7DA6DF-8011-4BAD-89CC-65EDDCE534DD}" id="{937BE58D-26C0-4B56-BF0F-739E3E025962}" parentId="{AE3517B0-159E-4FA6-B758-733C03627692}">
    <xltc:text>Cross-cutting production browser evidence, 2026-08-31. Release afa3f6c30a96e29603a64d34ba09287610577b78. While the retained Dragonborn Wizard 89f8fefe-acf2-45bc-86e1-960d8cb49188 had an active dedicated combat, Mage Hand was cast from the full character sheet. The sheet spent action 1/1→0/1, but reloading the retained combat restored that scene's independent action 1/1. Commit 8732be3 makes dedicated combat authoritative: classic and cockpit Action/Spells panels show a clear lock and guard action execution, manual effect removal, and Mage Hand follow-up controls while solo_combat_v1 is active. Focused tests passed 4/4, targeted lint passed, and the production build compiled 4,624 modules. Base Mechanics!7 retains both character IDs and the concise cross-surface result. Production retest awaits Timecloud capacity. Character ID(s): 89f8fefe-acf2-45bc-86e1-960d8cb49188; earlier action-economy evidence: 100eb271-ad36-4045-9aea-ef0d01a9e395.</xltc:text>
  </xltc:threadedComment>
  <xltc:threadedComment ref="L7" dT="2026-08-31T06:09:35.532" personId="{7A7DA6DF-8011-4BAD-89CC-65EDDCE534DD}" id="{CA4027AF-9354-44CA-8499-B5052609F09A}" parentId="{AE3517B0-159E-4FA6-B758-733C03627692}">
    <xltc:text>Workbook evidence note, 2026-08-31. Base Mechanics!7 contains the concise cross-surface action-ledger result and both retained character IDs. The detailed production reproduction and commit 8732be3 verification are recorded in the preceding Mage Hand reply because the XLSX exporter did not retain a newly created thread on the replaced Base Mechanics cell.</xltc:text>
  </xltc:threadedComment>
  <xltc:threadedComment ref="L7" dT="2026-09-01T02:14:17.169" personId="{64E68C1C-C896-4530-9F09-7F2015ECB6E2}" id="{B8079C6D-66D6-477A-AF35-C8870E0A7C9D}" parentId="{AE3517B0-159E-4FA6-B758-733C03627692}">
    <xltc:text>PASS — production a14996f6d006a51792e37819dfa8b2d32b938b0f. Sheet: the action card, slot-free cantrip access, source, duration, and control contract are readable. Combat: casting spent exactly one Action and no spell slot, created a 10-round hand, and the follow-up control moved “тестовый рычаг” 5 ft at 10 ft range/5 lb. Clarity: the actor drawer exposes source, duration, and “Управлять рукой”; the localized journal names the object and operation. Retained character IDs: 89f8fefe-acf2-45bc-86e1-960d8cb49188; f8e7549a-fe5c-4347-9d90-a7e27bfe94b9.</xltc:text>
  </xltc:threadedComment>
  <xltc:threadedComment ref="L7" dT="2026-09-01T06:44:51.055" personId="{7191A839-9F44-4696-A784-BBA26E8BD86B}" id="{64862A0B-43F7-4F89-B4F5-174D79A8C614}" parentId="{AE3517B0-159E-4FA6-B758-733C03627692}">
    <xltc:text>PASS — production d9be461f60175e9660c168860cfbad2408d78c60. Sheet/combat/clarity PASS: slot-free cast creates a 10-round hand; the follow-up control moved a named 5-lb lever 5 ft. Source, duration, control action and localized object operation are visible and persist. Three dimensions confirmed: sheet/world usage where relevant, combat usage where relevant, and user-visible result clarity. Manual certificate: mini-mvp-cantrips-manual-v1.</xltc:text>
  </xltc:threadedComment>
  <xltc:threadedComment ref="L16" dT="2026-08-30T10:19:22.507" personId="{C8119EBC-09D4-4F84-A83A-1C5D581842EC}" id="{13B141A0-9347-4641-9A21-4BFD95DAD4A4}">
    <xltc:text>Production browser evidence, 2026-08-30. Release f601e00530c788ef3f7fe3076be9bf66d100208b. Sheet: activation PASS. Combat: pending. Clarity: FAIL — submitted form/description “QA: звук далёкого колокола” disappeared from the resulting journal/effect, so other participants cannot tell what illusion exists. Character ID(s): 100eb271-ad36-4045-9aea-ef0d01a9e395.</xltc:text>
  </xltc:threadedComment>
  <xltc:threadedComment ref="L16" dT="2026-08-31T03:54:51.868" personId="{5942EF53-ED8A-4386-8C2B-60EDC5DA1A28}" id="{E94B8356-CAC9-4B66-A2CA-3978F7B1FCF9}" parentId="{13B141A0-9347-4641-9A21-4BFD95DAD4A4}">
    <xltc:text>Production browser evidence, 2026-08-31. Release afa3f6c30a96e29603a64d34ba09287610577b78. Retained Dragonborn Wizard 89f8fefe-acf2-45bc-86e1-960d8cb49188; character and scene were not deleted or finished. Combat card clearly described sound/image forms, 30-foot range, one-minute duration, and the Investigation action against spell save DC. Clicking a legal adjacent cell failed atomically with “Minor Illusion requires explicit sound or image input”; action stayed 1/1 and no journal or world object was created because combat had no input dialog. The full character sheet did show the shared form. It accepted Sound, description “Звук колокольчика”, and explicit distance 10 feet, then spent exactly one action and no spell slot. However, the result and journal reduced the outcome to “см. описание заклинания” and an English-named “Minor Illusion” object, discarding the description, so the caster and allies could not understand what existed or how to investigate it. Commit ba03297 passes the shared form result into combat with authoritative clicked-cell facts, positions and persists the resulting world object, adds a visible sound/image token, and includes the submitted description, remaining rounds, Investigation DC, and physical-interaction disclosure for images in map accessibility text and journals. Verification: 62 focused tests, targeted lint, full TypeScript, and a clean production build passed. Status remains Needs retest until Timecloud deployment and production browser confirmation. Earlier retained Bard evidence remains attached. Character ID(s): 100eb271-ad36-4045-9aea-ef0d01a9e395; 89f8fefe-acf2-45bc-86e1-960d8cb49188.</xltc:text>
  </xltc:threadedComment>
  <xltc:threadedComment ref="L16" dT="2026-09-01T02:14:17.171" personId="{64E68C1C-C896-4530-9F09-7F2015ECB6E2}" id="{B47409B2-DC6B-46DB-992D-315CB2234FCA}" parentId="{13B141A0-9347-4641-9A21-4BFD95DAD4A4}">
    <xltc:text>PASS — production a14996f6d006a51792e37819dfa8b2d32b938b0f. Sheet: the card presents the sound/visual choice and Investigation interaction. Combat: “Звон стеклянного колокольчика” created the illusion for 10 rounds with Investigation DC 13. Clarity: the map label and journal preserve form, description, duration, and DC after reload. Retained character ID: 89f8fefe-acf2-45bc-86e1-960d8cb49188.</xltc:text>
  </xltc:threadedComment>
  <xltc:threadedComment ref="L16" dT="2026-09-01T06:44:51.085" personId="{7191A839-9F44-4696-A784-BBA26E8BD86B}" id="{709E771F-5CA0-4434-9C0C-07BF7FF59756}" parentId="{13B141A0-9347-4641-9A21-4BFD95DAD4A4}">
    <xltc:text>PASS — production d9be461f60175e9660c168860cfbad2408d78c60. Sheet/combat/clarity PASS: sound/image choice creates a 10-round world object with supplied description, Investigation DC and physical-interaction guidance; map label and journal persist after reload. Three dimensions confirmed: sheet/world usage where relevant, combat usage where relevant, and user-visible result clarity. Manual certificate: mini-mvp-cantrips-manual-v1.</xltc:text>
  </xltc:threadedComment>
  <xltc:threadedComment ref="L26" dT="2026-08-30T10:19:22.509" personId="{C8119EBC-09D4-4F84-A83A-1C5D581842EC}" id="{B88D9FFF-6AB7-4A96-B7C7-316D7CD9776A}">
    <xltc:text>Production browser evidence, 2026-08-30. Release f601e00530c788ef3f7fe3076be9bf66d100208b. Sheet: PASS — Light activated as an object form, consumed only the action, and left a visible active effect/journal result. Combat: pending. Clarity: PASS. Character ID(s): 100eb271-ad36-4045-9aea-ef0d01a9e395.</xltc:text>
  </xltc:threadedComment>
  <xltc:threadedComment ref="L26" dT="2026-09-01T02:14:17.174" personId="{64E68C1C-C896-4530-9F09-7F2015ECB6E2}" id="{C4861A74-7E9E-43D6-A53E-C1D777E6936F}" parentId="{B88D9FFF-6AB7-4A96-B7C7-316D7CD9776A}">
    <xltc:text>PASS — production a14996f6d006a51792e37819dfa8b2d32b938b0f. Sheet: the touch target and illumination contract are readable. Combat: casting on a new “медный жетон” at the caster cell spent one Action and no spell slot, created bright light 20 ft. plus dim light another 20 ft. for 600 rounds, and positioned the object. Clarity: the localized journal names the object, ranges, and duration; state survives reload. Retained character ID: 100eb271-ad36-4045-9aea-ef0d01a9e395.</xltc:text>
  </xltc:threadedComment>
  <xltc:threadedComment ref="L26" dT="2026-09-01T06:44:51.126" personId="{7191A839-9F44-4696-A784-BBA26E8BD86B}" id="{C4775C87-D05C-4439-AFF7-E096BD2C37E1}" parentId="{B88D9FFF-6AB7-4A96-B7C7-316D7CD9776A}">
    <xltc:text>PASS — production d9be461f60175e9660c168860cfbad2408d78c60. Sheet/combat/clarity PASS: a named torch/object receives bright and dim light, Action is spent, and the localized object/range/duration journal survives reload. Three dimensions confirmed: sheet/world usage where relevant, combat usage where relevant, and user-visible result clarity. Manual certificate: mini-mvp-cantrips-manual-v1.</xltc:text>
  </xltc:threadedComment>
  <xltc:threadedComment ref="L63" dT="2026-08-30T10:19:22.512" personId="{C8119EBC-09D4-4F84-A83A-1C5D581842EC}" id="{401A9CCA-C967-44E7-8ED4-870BAA89A753}">
    <xltc:text>Production browser evidence, 2026-08-30. Release f601e00530c788ef3f7fe3076be9bf66d100208b. Sheet: PASS on self — 13 healing was rolled, action and one level-1 slot were consumed; HP correctly remained capped at maximum. Compatible-target and combat use: pending. Legacy-target attempt is safely blocked with actionable Russian ruleset guidance. Clarity: PASS for self result. Character ID(s): 100eb271-ad36-4045-9aea-ef0d01a9e395; 84e8c110-bbba-41be-85ef-9165c376d746.</xltc:text>
  </xltc:threadedComment>
  <xltc:threadedComment ref="L63" dT="2026-08-30T18:30:00.633" personId="{AA6D792C-703E-4324-9FAB-FAE8A31D6AD3}" id="{963068B9-1B3B-4BEA-9477-AFFF86257883}" parentId="{401A9CCA-C967-44E7-8ED4-870BAA89A753}">
    <xltc:text>Production browser evidence update, 2026-08-30. Sheet: PASS — earlier self use rolled healing and respected maximum HP. Combat: PASS on release f7d5fb86778fa3d4b3edcd1a0a25be22215554f2 — the retained Bard used Cure Wounds on self from missing HP, spent action 1 and spell_slot_1 1, rolled d8 3 + d8 5 + spellcasting 2 = 10, restored HP to its maximum, and left one slot. The journal explicitly shows source, target, each die, modifier, total healing, and resource spend; reload retained the entry/state. Character ID(s): 100eb271-ad36-4045-9aea-ef0d01a9e395.</xltc:text>
  </xltc:threadedComment>
  <xltc:threadedComment ref="L63" dT="2026-09-01T11:42:52.691" personId="{49BE8344-C533-4AFE-AA6D-83DFAA214550}" id="{D9E2DDD9-4DCE-4AA9-81DA-1E96D0298276}" parentId="{401A9CCA-C967-44E7-8ED4-870BAA89A75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63" dT="2026-09-01T11:43:35.867" personId="{135C7728-5E52-4CA3-B52D-109045988E5D}" id="{AD794E25-B74E-4CDE-9EAA-1DD51D5BE07A}" parentId="{401A9CCA-C967-44E7-8ED4-870BAA89A75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46" dT="2026-08-30T17:40:38.151" personId="{7ED21356-1A86-47BB-8763-7392DCB39357}" id="{F126E206-2A32-4A79-89E3-CAA7DBE30A69}">
    <xltc:text>Production browser evidence, 2026-08-30. Release f7d5fb86778fa3d4b3edcd1a0a25be22215554f2. Combat: PASS — Thunderwave displayed the full sheet-equivalent hover card, spent one action and one level-1 slot, forced a CON save 9 vs DC 12, dealt 6 thunder damage, pushed the Goblin 10 ft, and left it at 4/10 HP. Reload preserved the journal, HP, position, active turn, and remaining slot. Clarity: PASS — save die/modifier/DC, damage dice/total/type, push distance, and resource spend are explicit. Sheet activation: pending. Character ID(s): 100eb271-ad36-4045-9aea-ef0d01a9e395.</xltc:text>
  </xltc:threadedComment>
  <xltc:threadedComment ref="L46" dT="2026-09-01T11:42:52.685" personId="{49BE8344-C533-4AFE-AA6D-83DFAA214550}" id="{63A0B177-BAD8-4F3F-AC0E-C50E624D4B04}" parentId="{F126E206-2A32-4A79-89E3-CAA7DBE30A6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46" dT="2026-09-01T11:43:35.862" personId="{135C7728-5E52-4CA3-B52D-109045988E5D}" id="{0025F8F0-41AF-4363-A58B-CC6D2733DDEF}" parentId="{F126E206-2A32-4A79-89E3-CAA7DBE30A6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39" dT="2026-08-31T00:41:21.261" personId="{D3E1FA72-ECF6-4808-9AA7-AD9E3CEE2DE7}" id="{6E52E469-7F13-4D09-BEEA-253E86F6464F}">
    <xltc:text>Production browser evidence, 2026-08-31. Release afa3f6c30a96e29603a64d34ba09287610577b78. Poison Spray opened the expected attack/damage dice flow (1к20 and 1к12), spent exactly one action, hit AC 11 with 24, rolled a critical 14 poison damage, and applied the Dwarf's resistance as 14 → 7. The saved journal explicitly shows “сопротивление (яд): 14 → 7”; the cross-character result persisted. An earlier retained combat run also exercised the same poison-resistance branch. All three dimensions pass. Character ID(s): f8e7549a-fe5c-4347-9d90-a7e27bfe94b9; 8c450667-7ce4-4c81-a982-f7356cb8f7ab.</xltc:text>
  </xltc:threadedComment>
  <xltc:threadedComment ref="L39" dT="2026-09-01T06:44:51.161" personId="{7191A839-9F44-4696-A784-BBA26E8BD86B}" id="{95398A21-93C9-4FBE-80C9-916AA46EE662}" parentId="{6E52E469-7F13-4D09-BEEA-253E86F6464F}">
    <xltc:text>PASS — production d9be461f60175e9660c168860cfbad2408d78c60. Sheet/combat/clarity PASS: ranged spell attack, poison damage, Dwarven resistance, resource spend and localized journal math were observed and persisted. Three dimensions confirmed: sheet/world usage where relevant, combat usage where relevant, and user-visible result clarity. Manual certificate: mini-mvp-cantrips-manual-v1.</xltc:text>
  </xltc:threadedComment>
  <xltc:threadedComment ref="L64" dT="2026-08-31T00:41:21.263" personId="{D3E1FA72-ECF6-4808-9AA7-AD9E3CEE2DE7}" id="{BE113F93-0204-4E06-8806-CCDF074BEA0D}">
    <xltc:text>Production browser evidence, 2026-08-31. Release afa3f6c30a96e29603a64d34ba09287610577b78. In a retained Drow-versus-Goblin scene, Ray of Sickness spent one action and the final level-1 slot, hit AC 15 with 16, dealt 8 poison damage (Goblin 10 → 2), applied Poisoned, and persisted. The journal clearly records both spend rows, damage, and “Состояние: Отравленный → Гоблин-воин”. Source-turn lifecycle was separately verified on the retained Dwarf: the first source turn armed and preserved the effect; the next source-turn end expired it. Production result clarity remains partial because the Goblin inspector displays raw “poisoned” without mechanics/source/duration. A local fix now renders “Отравлен”, the two disadvantage rules, “Источник: Луч болезни”, and the exact source-turn duration; deployment/browser retest is pending because release storage is full. Character ID(s): f8e7549a-fe5c-4347-9d90-a7e27bfe94b9; 8c450667-7ce4-4c81-a982-f7356cb8f7ab.</xltc:text>
  </xltc:threadedComment>
  <xltc:threadedComment ref="L64" dT="2026-08-31T03:15:26.504" personId="{048B89D3-FB2E-4D3C-8CB2-79C3E55D7B2E}" id="{6401A0DE-A386-4989-B50A-C1EC4DEFDFEA}" parentId="{BE113F93-0204-4E06-8806-CCDF074BEA0D}">
    <xltc:text>Additional sheet evidence, 2026-08-31. Release afa3f6c30a96e29603a64d34ba09287610577b78. Retained Drow Wizard f8e7549a-fe5c-4347-9d90-a7e27bfe94b9. The first deterministic cast was rejected atomically because the sheet had been left open while combat advanced its runtime revision; action stayed 1/1 and slots 2/2, then the sheet refreshed. Commit a04250a replaces the raw English runtime/CAS message with a player-facing explanation that another tab or combat changed the sheet, confirms refreshed data, and asks for a retry. After refresh, Ray of Sickness manual d20=20 plus spell attack +4 critically hit AC 10. Entered base dice 1+1; the engine added critical dice 2+5 for 9 poison damage, applied Poisoned, spent exactly one action and one level-1 slot, and wrote attack/AC/critical/damage/condition/resources to the journal. This reinforces the sheet mechanics pass. Status remains Needs retest because recipient/monster Poisoned inspection in deployed production is still the previously recorded raw-condition clarity failure; the shared clarity fix awaits Timecloud deployment. Character ID(s): f8e7549a-fe5c-4347-9d90-a7e27bfe94b9.</xltc:text>
  </xltc:threadedComment>
  <xltc:threadedComment ref="L64" dT="2026-09-01T11:42:52.691" personId="{49BE8344-C533-4AFE-AA6D-83DFAA214550}" id="{08794868-784C-4B2E-837F-2030D86608AA}" parentId="{BE113F93-0204-4E06-8806-CCDF074BEA0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64" dT="2026-09-01T11:43:35.867" personId="{135C7728-5E52-4CA3-B52D-109045988E5D}" id="{2C96A87A-D9FB-4D75-BF3F-8F51C21AB360}" parentId="{BE113F93-0204-4E06-8806-CCDF074BEA0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21" dT="2026-08-31T01:48:58.15" personId="{3A50C283-9B6A-4ED9-A0A2-B23A5E5F1821}" id="{0F35538C-74A3-47D8-A43F-F0EEF161A740}">
    <xltc:text>Production browser evidence, 2026-08-31. Release afa3f6c30a96e29603a64d34ba09287610577b78. In the retained Drow-vs-Goblin scene, selecting “Пляшущие огоньки” displayed the full sheet-equivalent hover card with description, classes, 120-ft range, concentration, components, and action cost. Clicking cell 6,6 failed before any state/resource mutation with “InvalidFacts: Dancing Lights requires a canonical placement snapshot”; action remained 1/1 and the saved scene stayed intact. Root cause: the rules core already required and supported canonical creation/movement facts, while the dedicated combat adapter forwarded no clicked board position and rendered no spell object. Commit 48f87b5 now derives distance and board revision from the clicked cell, creates/persists the canonical object, renders a labeled 10-ft dim-light token plus concentration/round status, and exposes the existing 60-ft bonus-action movement command. Focused behavior passed 1/1, the full combat integration file passed 18/18, lint and TypeScript passed, and the production bundle compiled successfully. Status remains Needs retest until Timecloud deployment, production cast/move/reload confirmation, and character-sheet use. Character ID(s): f8e7549a-fe5c-4347-9d90-a7e27bfe94b9.</xltc:text>
  </xltc:threadedComment>
  <xltc:threadedComment ref="L21" dT="2026-09-01T02:14:17.173" personId="{64E68C1C-C896-4530-9F09-7F2015ECB6E2}" id="{36560781-E52D-4424-85BE-9C71BD8D0425}" parentId="{0F35538C-74A3-47D8-A43F-F0EEF161A740}">
    <xltc:text>PASS — production a14996f6d006a51792e37819dfa8b2d32b938b0f. Sheet: the dialog clearly offers individual and combined forms with their ranges. Combat: four supplied placements created four lights with dim light 10 ft., concentration, and 10-round duration; the follow-up moved them to cell 7,7 and spent exactly one Bonus Action. Clarity: the controller and localized movement journal remain visible after reload. Retained character ID: f8e7549a-fe5c-4347-9d90-a7e27bfe94b9.</xltc:text>
  </xltc:threadedComment>
  <xltc:threadedComment ref="L21" dT="2026-09-01T06:44:51.111" personId="{7191A839-9F44-4696-A784-BBA26E8BD86B}" id="{B5B702F4-B624-4E40-99E9-F86C714ED851}" parentId="{0F35538C-74A3-47D8-A43F-F0EEF161A740}">
    <xltc:text>PASS — production d9be461f60175e9660c168860cfbad2408d78c60. Sheet/combat/clarity PASS: four supplied placements create four lights with concentration and duration; follow-up movement spends one Bonus Action. Controller, positions, light radius and journal survive reload. Three dimensions confirmed: sheet/world usage where relevant, combat usage where relevant, and user-visible result clarity. Manual certificate: mini-mvp-cantrips-manual-v1.</xltc:text>
  </xltc:threadedComment>
  <xltc:threadedComment ref="L56" dT="2026-08-31T01:59:19.516" personId="{BA00BC20-88DB-49CD-ADA9-33916DB658E2}" id="{E855D2AC-2960-4010-B8C7-C8F8D126645F}">
    <xltc:text>Production browser evidence, 2026-08-31. Release afa3f6c30a96e29603a64d34ba09287610577b78. In the retained Drow-vs-Goblin scene, selecting “Доспехи мага” displayed the shared hover card with willing/unarmored target rule, 13 + Dexterity AC, armor-ending rule, Sorcerer/Wizard classes, touch, eight-hour duration, components, action, and level-1 slot. Clicking the Drow's own controlled token then failed before mutation with “TargetNotWilling: f8e7549a-fe5c-4347-9d90-a7e27bfe94b9 has not explicitly consented to db6433bf-f779-4b65-8766-0feffefd1930@CLASS-wizard”. Action remained 1/1, slots remained 2/2, and the saved scene stayed intact. Commit ee91720 records willingness only when the actor targets themself or the same player controls both source and target; other targets remain fail-closed. It also translates TargetNotWilling and TargetArmored without leaking actor/action IDs. Focused checks passed 2/2; the full combat/error files passed 24/24; lint and TypeScript passed. Local vertical evidence spends one action plus one slot and creates the exact 4,800-round Mage Armor effect. Status remains Needs retest until Timecloud deployment, production effect/AC/expiry/observer clarity, and character-sheet use. Character ID(s): f8e7549a-fe5c-4347-9d90-a7e27bfe94b9.</xltc:text>
  </xltc:threadedComment>
  <xltc:threadedComment ref="L56" dT="2026-08-31T04:41:42.187" personId="{CE9FCFF4-3309-4F3E-8651-42381A2CDBBA}" id="{1BB20C46-3F3F-476C-9EDF-C27E9ED8BE35}" parentId="{E855D2AC-2960-4010-B8C7-C8F8D126645F}">
    <xltc:text>Additional production browser evidence, 2026-08-31. Release afa3f6c30a96e29603a64d34ba09287610577b78. Fresh retained Human Wizard 356f2df5-2593-4b3d-a249-ebe72cbc42a5; not deleted and not placed in combat. After a supported New Turn, the sheet selected the Wizard as the explicit self target with relation self, distance 0, willing=true, scene facts, line of sight, and no cover. Confirmation spent exactly one action and the final level-1 slot: action 1/1→0/1, slot 1/2→0/2. Base AC changed from 11 to 14, matching 13 + Dexterity +1, and the active Mage Armor effect persisted for 4,800 turns. The deployed recipient list showed only the effect name, “4800 ходов”, and manual removal; it did not explain the AC formula, eight-hour duration, or armor-ending trigger. Commit dc38fc1 derives these instructions from the canonical nested set_value ac_base formula, rounds duration, and wearer_dons_armor trigger, so the sheet and combat sidebars will say “КД: 13 + модификатор Ловкости. Срок: 8 часов. Эффект закончится, если вы наденете доспех.” Focused engine/render verification passed 13/13, targeted lint and full TypeScript passed. Combat self-target remains pending production retest of existing pushed consent fix ee91720. Character ID(s): f8e7549a-fe5c-4347-9d90-a7e27bfe94b9; 356f2df5-2593-4b3d-a249-ebe72cbc42a5.</xltc:text>
  </xltc:threadedComment>
  <xltc:threadedComment ref="L56" dT="2026-09-01T11:42:52.689" personId="{49BE8344-C533-4AFE-AA6D-83DFAA214550}" id="{DA96F3C4-D9F1-438D-94BC-60C854BFFC0B}" parentId="{E855D2AC-2960-4010-B8C7-C8F8D126645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56" dT="2026-09-01T11:43:35.865" personId="{135C7728-5E52-4CA3-B52D-109045988E5D}" id="{43E43944-572A-46C9-841A-94E52632BDF1}" parentId="{E855D2AC-2960-4010-B8C7-C8F8D126645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100" dT="2026-08-31T02:16:16.506" personId="{4888DE74-6926-4925-8CD3-AE6C4F3AFF0F}" id="{E0470CCB-3A76-4B8A-AAD9-A67D00E853C9}">
    <xltc:text>Production browser evidence, 2026-08-31. Release afa3f6c30a96e29603a64d34ba09287610577b78. Retained scene: Drow f8e7549a-fe5c-4347-9d90-a7e27bfe94b9 vs Goblin Warrior (2/10 HP), not deleted or finished. Combat: selecting “Усыпление I” showed the shared hover card with WIS DC 12, 5-foot sphere/60-foot range, Unconscious result, repeat-save and damage/shake wake-up rules, elf/exhaustion-immunity auto-success, classes, concentration, components, action, and slot. The Goblin rolled 12 - 1 WIS = 11 vs DC 12, failed, became Unconscious, and the source spent exactly action plus spell_slot_1. The combat journal is explicit, but the deployed target inspector only shows raw “poisoned” and “unconscious” labels. Pushed commit 38c2825 localizes active conditions and adds source, duration, and mechanical instructions; deployment and Sleep-specific observer clarity remain to be retested. Character sheet: the target/facts dialog and shared dice dialog both opened correctly; selecting the training target and entering d20=1 then aborted with “The compatible character sheet cannot resume canonical pending resolution target_save”. Action and slots remained unchanged, proving atomic failure. Pushed commit df0a5cc resumes only target-save continuations with the already collected dice while all other unsupported continuations remain fail-closed. Verification: focused test 7/7; related orchestrator/UI tests 56/56; full lint passed; TypeScript passed. Status remains Needs retest until Timecloud deployment and production verification of sheet persistence/journal, combat inspector clarity, repeat save, damage/shake wake-up, and elf immunity. Character ID(s): f8e7549a-fe5c-4347-9d90-a7e27bfe94b9.</xltc:text>
  </xltc:threadedComment>
  <xltc:threadedComment ref="L100" dT="2026-08-31T03:02:27.26" personId="{509FAD89-BFB7-4A71-AFF6-B251451E1F95}" id="{518F6E98-404C-4FA8-ADB3-2BA62C40D010}" parentId="{E0470CCB-3A76-4B8A-AAD9-A67D00E853C9}">
    <xltc:text>Lifecycle follow-up, 2026-08-31. Production release afa3f6c30a96e29603a64d34ba09287610577b78; retained scene was not deleted or finished. After the initial failed save, deployed Sleep had stored one-round Unconscious. Ending the Drow turn advanced to the Goblin; the effect expired at the Goblin's turn start, the Goblin woke before acting, and attacked the Drow. Retained state is round 2, Goblin turn, Drow f8e7549a-fe5c-4347-9d90-a7e27bfe94b9 at 0/9 HP, Goblin at 2/10 HP. This proves the original combat result was not a complete mechanics pass: the initial condition, duration boundary, second save, and transition were wrong. Pushed commit a1b37d5 and migration 123 implement the PHB 2024 lifecycle: failed initial WIS save applies Incapacitated under concentration; the target survives its start turn and repeats the bound caster-DC save at end of turn; a failed repeat changes the same persisted effect to Unconscious; damage or an adjacent Help wake action removes only matching magical-sleep effects; no-sleep and Exhaustion-immunity targets auto-succeed; mixed areas skip immune targets without opening fake dice dialogs while retaining their IDs in the audit trail. The inspector now explains repeat save/DC, failure transition, duration, damage, and wake instructions. Help has explicit assist/wake/stabilize choices. Final post-correction verification: 51 related frontend tests across eight files, targeted lint, full TypeScript, Go migration package, exact preimage/idempotence guard, and replay equality all passed. Status remains Needs retest because Timecloud deployment is blocked by the already-verified release-storage safety condition. Character ID(s): f8e7549a-fe5c-4347-9d90-a7e27bfe94b9.</xltc:text>
  </xltc:threadedComment>
  <xltc:threadedComment ref="L100" dT="2026-09-01T11:42:52.7" personId="{49BE8344-C533-4AFE-AA6D-83DFAA214550}" id="{56CA37D9-9113-4567-ABBB-8E9A9380F83B}" parentId="{E0470CCB-3A76-4B8A-AAD9-A67D00E853C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100" dT="2026-09-01T11:43:35.877" personId="{135C7728-5E52-4CA3-B52D-109045988E5D}" id="{84EA3AF7-919D-4F0B-9DC2-40480E0A1A73}" parentId="{E0470CCB-3A76-4B8A-AAD9-A67D00E853C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15" dT="2026-08-31T03:15:26.503" personId="{048B89D3-FB2E-4D3C-8CB2-79C3E55D7B2E}" id="{17988212-180A-4F5D-B1F6-E1BFE53E9197}">
    <xltc:text>Production browser evidence, 2026-08-31. Release afa3f6c30a96e29603a64d34ba09287610577b78. Retained Dragonborn Wizard 89f8fefe-acf2-45bc-86e1-960d8cb49188; scene was not deleted or finished. Combat hover card matched the full sheet: ranged spell attack +5, 1d8 cold, 60-foot range, action, no slot, and speed -10 feet until the start of the caster's next turn. Against the Goblin, the system rolled 10 + 3 spellcasting + 2 proficiency = 15 vs AC 15, hit, dealt 1 cold, spent exactly one action, and applied “Ray of Frost · speed”. Target inspection clearly showed effective Speed 20 ft, base 30, state “Ray of Frost”, and “Speed: -10 ft.” Reload preserved HP 9/10, the journal, effective speed, and the inspector state. Ending the Wizard turn let the Goblin act, advanced to the Wizard's next turn, expired the effect at the correct boundary, restored the Goblin to Speed 30, and removed the state from inspection. Character sheet then used manual d20=5 and d8=1: 5 + 3 spellcasting + 2 proficiency = 10 vs AC 10, hit for 1 cold, applied the speed effect, spent exactly one action, and spent no slot. Journal and result summary named attack, AC, damage, resource, and effect. All three dimensions pass. Character ID(s): 89f8fefe-acf2-45bc-86e1-960d8cb49188.</xltc:text>
  </xltc:threadedComment>
  <xltc:threadedComment ref="L15" dT="2026-08-31T07:52:16.519" personId="{AE763235-4FF3-4A0D-B883-84BE7ABD3565}" id="{CEF44B33-C6E7-4E03-81F4-2AF3166D983B}" parentId="{17988212-180A-4F5D-B1F6-E1BFE53E9197}">
    <xltc:text>Production browser evidence update, 2026-08-31. Release 79c80ce00c565b4d6e9bbeaa17b8d540e6228d02. Retained fresh Forge Human Wizard 6b474575-3eae-46b4-815f-d27ee696cf9c. Sheet: PASS — Ray of Frost opened the explicit target-and-facts dialog; the first visible roll missed, the retained retry rolled 16 +3 spellcasting +2 proficiency = 21 against AC 10, spent exactly one action and no slot, and recorded the speed effect. Combat: PASS — a fresh hit rolled 15 +3 spellcasting +2 proficiency = 20 against AC 12, dealt 1 cold damage, and applied the slow. Clarity: PASS — the target inspector shows source, expiry at the start of the source's next turn, and Speed −10 ft. Earlier retained character 89f8fefe-acf2-45bc-86e1-960d8cb49188 supplies the successful expiry/restoration evidence.</xltc:text>
  </xltc:threadedComment>
  <xltc:threadedComment ref="L15" dT="2026-09-01T06:44:51.082" personId="{7191A839-9F44-4696-A784-BBA26E8BD86B}" id="{311C2BA3-8BAB-496A-8FDD-6E4492A0B63A}" parentId="{17988212-180A-4F5D-B1F6-E1BFE53E9197}">
    <xltc:text>PASS — production d9be461f60175e9660c168860cfbad2408d78c60. Sheet/combat/clarity PASS: ranged hit deals cold damage and applies Speed −10 ft; target inspection shows source, amount and expiry. Clean Sorcerer is the retained scene owner 420d2fbf-ce7b-490d-9f79-34fd209b8d1c. Three dimensions confirmed: sheet/world usage where relevant, combat usage where relevant, and user-visible result clarity. Manual certificate: mini-mvp-cantrips-manual-v1.</xltc:text>
  </xltc:threadedComment>
  <xltc:threadedComment ref="L15" dT="2026-09-02T04:09:46.181" personId="{23F9B60D-8713-4E2F-8572-F057B74A395A}" id="{D30FF1DE-E177-48BD-8BB2-302696BD37CE}" parentId="{17988212-180A-4F5D-B1F6-E1BFE53E9197}">
    <xltc:text>POLISH PASS — production a79f20b27d6bbc67f0cfd016344ff7ac46ea319d. A spell added through “+ Добавить” remained available/prepared on a Fighter and cast without a slot. A hit applied the real library effect “Луч холода — Скорость снижена на 10 футов”; the Wolf inspector showed speed 30, base 40, the effect image/source, and “Скорость: −10 фт.” Clicking the icon opened the explanatory effect card. Character ID: 467b52d2-3982-4c32-bbfa-f39cce69bcf0.</xltc:text>
  </xltc:threadedComment>
  <xltc:threadedComment ref="L20" dT="2026-08-31T03:29:18.91" personId="{DC1C692D-2D76-40AA-A62A-01FBFA7E00BF}" id="{03409A12-C81D-4414-B915-8AE8F9B43E8A}">
    <xltc:text>Production browser evidence, 2026-08-31. Release afa3f6c30a96e29603a64d34ba09287610577b78. Retained Dragonborn Wizard 89f8fefe-acf2-45bc-86e1-960d8cb49188; character and scene were not deleted or finished. Combat card showed +5 ranged spell attack, 1d10 fire, 120-foot range, action/no slot, and the object-ignition rule. System d20=15 +3 spellcasting +2 proficiency = 20 vs AC 15 hit the retained Goblin for d10=6 fire, spent exactly one action, spent no slot, reduced the Goblin from 9/10 to 3/10 HP, and wrote a clear attack/AC/die/damage/resource journal. After constructor resource refresh, the full sheet selected its training target and used manual d20=10 and d10=4: total 15 vs AC 10 hit for 4 fire, spent exactly one action, spent no slot, and showed a clear result and journal. The shared card has a presentation contradiction: base damage and executable mechanics correctly use d10, but the scaling paragraph says 1d6/2d6/3d6/4d6. Commit 9ca35ff, migration 124, changes the exact known live text to 1d10/2d10/3d10/4d10, requires the stable spell identity and already-correct d10 mechanics, fails closed on drift, and revokes the stale certificate pending production retest. The unattended-object ignition branch cannot yet be selected because the deployed scene has no compatible object interaction. Character ID(s): 89f8fefe-acf2-45bc-86e1-960d8cb49188.</xltc:text>
  </xltc:threadedComment>
  <xltc:threadedComment ref="L20" dT="2026-09-01T02:14:17.172" personId="{64E68C1C-C896-4530-9F09-7F2015ECB6E2}" id="{85B1BD95-5769-4F44-A26E-427CB4E3CF43}" parentId="{03409A12-C81D-4414-B915-8AE8F9B43E8A}">
    <xltc:text>PASS — production a14996f6d006a51792e37819dfa8b2d32b938b0f. Sheet: the hover/card shows a ranged spell attack, 1d10 fire damage, and correct 2d10/3d10/4d10 scaling. Combat: it spends one Action and no spell slot, resolves attack and damage, and exposes the localized outcome. Clarity: attack, damage, scaling, and remaining resources are readable. Retained character ID: 89f8fefe-acf2-45bc-86e1-960d8cb49188.</xltc:text>
  </xltc:threadedComment>
  <xltc:threadedComment ref="L20" dT="2026-09-01T06:44:51.108" personId="{7191A839-9F44-4696-A784-BBA26E8BD86B}" id="{2762BC6A-EEAD-4B94-9EE3-5FA18081620E}" parentId="{03409A12-C81D-4414-B915-8AE8F9B43E8A}">
    <xltc:text>PASS — production d9be461f60175e9660c168860cfbad2408d78c60. Sheet/combat/clarity PASS: ranged spell attack, fire damage, Action spend and level scaling are visible; no spell slot is consumed. Three dimensions confirmed: sheet/world usage where relevant, combat usage where relevant, and user-visible result clarity. Manual certificate: mini-mvp-cantrips-manual-v1.</xltc:text>
  </xltc:threadedComment>
  <xltc:threadedComment ref="L47" dT="2026-08-31T04:28:20.098" personId="{1C44E7D6-5C3A-4D2E-B559-5946C955CD58}" id="{86266772-3BBB-4FA6-ACD2-A20BA1661665}">
    <xltc:text>Production browser evidence, 2026-08-31. Release afa3f6c30a96e29603a64d34ba09287610577b78. Fresh retained Human Wizard 356f2df5-2593-4b3d-a249-ebe72cbc42a5, created through Forge and not deleted or placed in combat. The sheet selected the training dummy at 60 feet and explicitly allocated all three darts. The automatic rolls were d4=4, d4=4, and d4=1, producing 5, 5, and 2 force damage (12 total). Exactly one action and one 1st-level slot were spent: action 1/1→0/1 and slot 2/2→1/2. The immediate result showed the three damage packets and resource costs. The persistent journal failed clarity: each d4 damage roll was displayed as “d20”, and there was no durable spell-name or target entry, so later readers could not identify the action. Commit b25ff8e makes roll breakdowns use each die's actual side count, handles mixed dice safely, and prepends a durable “Magic Missile → target” narrative row for ordinary sheet actions. Verification: 9 focused tests, targeted lint, full TypeScript, and a clean production build passed. Combat remains pending because the deployed scene constructor cannot yet add a safe target and casting at the retained 3-HP Goblin would end the preserved encounter. Character ID(s): 356f2df5-2593-4b3d-a249-ebe72cbc42a5.</xltc:text>
  </xltc:threadedComment>
  <xltc:threadedComment ref="L47" dT="2026-09-01T11:42:52.686" personId="{49BE8344-C533-4AFE-AA6D-83DFAA214550}" id="{A8BD2ADE-6D10-4D3E-9366-2B66BB55F2CF}" parentId="{86266772-3BBB-4FA6-ACD2-A20BA166166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47" dT="2026-09-01T11:43:35.862" personId="{135C7728-5E52-4CA3-B52D-109045988E5D}" id="{28E74208-8597-4BB0-8A22-B0C7BA06B133}" parentId="{86266772-3BBB-4FA6-ACD2-A20BA166166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35" dT="2026-08-31T05:24:18.188" personId="{96D4E3EB-7F58-48C8-A98A-D1E864BC77CF}" id="{2C6F773E-5675-41F6-9D83-9E558E53DFDE}">
    <xltc:text>Production browser evidence, 2026-08-31. Release afa3f6c30a96e29603a64d34ba09287610577b78. Retained Human Wizard 356f2df5-2593-4b3d-a249-ebe72cbc42a5. From the character sheet, Prestidigitation used the sensory-effect mode with description “Запах корицы в воздухе”, explicit distance 10 feet, and scene facts. It spent exactly one action (1→0), did not spend the free-use resource, and required no spell slot. The immediate journal first said the named effect was created, then exposed the internal ID “sheet:1badba49:1:id:1” while removing the instantaneous object, so a reader could not understand the result. Commit c46b4ed correlates create/remove mutations from the same command and records “Фокусы: мгновенный эффект «Запах корицы в воздухе» завершён” without raw IDs. Exact production-primitive regression, focused tests, lint, TypeScript, and production build passed. Combat remains untested. Character ID(s): 356f2df5-2593-4b3d-a249-ebe72cbc42a5.</xltc:text>
  </xltc:threadedComment>
  <xltc:threadedComment ref="L35" dT="2026-08-31T05:37:15.807" personId="{7245558D-B2CF-4DB6-A7E2-82587361EBC7}" id="{39053478-8E5B-4EBB-83A7-E9D2F3BBDE6C}" parentId="{2C6F773E-5675-41F6-9D83-9E558E53DFDE}">
    <xltc:text>Additional production browser evidence, 2026-08-31. Release afa3f6c30a96e29603a64d34ba09287610577b78. Retained Dragonborn Wizard 89f8fefe-acf2-45bc-86e1-960d8cb49188. In combat, selecting “Фокусы” showed the correct sheet-equivalent hover card. Clicking the adjacent empty cell at 5 feet did not open the shared Prestidigitation option form; the deployed page raised “InvalidFacts: Prestidigitation requires one canonical option”. The failure was atomic: action stayed 1/1, level-1 slots stayed 2/2, HP stayed 3/9, the active turn remained the Dragonborn Wizard, and no spell result was journaled. Commit 396c0f8 removes the Minor-Illusion-only gate, opens the shared world-input form for every supported combat world-input action, and binds the clicked tactical cell as authoritative while preserving option-specific facts. Exact Prestidigitation and Minor Illusion regressions passed, followed by 33/33 world-input/solo-combat integration tests, targeted lint, TypeScript, and the production build. The retained scene was left unfinished and unchanged. Production retest awaits Timecloud deployment. Character ID(s): 89f8fefe-acf2-45bc-86e1-960d8cb49188. Sheet evidence remains on Human Wizard 356f2df5-2593-4b3d-a249-ebe72cbc42a5.</xltc:text>
  </xltc:threadedComment>
  <xltc:threadedComment ref="L35" dT="2026-09-01T02:14:17.175" personId="{64E68C1C-C896-4530-9F09-7F2015ECB6E2}" id="{7F134210-919E-4692-9A80-766C345F0404}" parentId="{2C6F773E-5675-41F6-9D83-9E558E53DFDE}">
    <xltc:text>PASS — production a14996f6d006a51792e37819dfa8b2d32b938b0f. Sheet: all six utility options are explicit and understandable. Combat: the sensory effect “Запах хвои и искры” spent one Action and no spell slot. Clarity: the localized journal identifies the selected sensory effect, and the result persists after reload. Retained character ID: 89f8fefe-acf2-45bc-86e1-960d8cb49188.</xltc:text>
  </xltc:threadedComment>
  <xltc:threadedComment ref="L35" dT="2026-09-01T06:44:51.153" personId="{7191A839-9F44-4696-A784-BBA26E8BD86B}" id="{B41D0706-50E5-4C1C-BDC3-7672ADC4EFA8}" parentId="{2C6F773E-5675-41F6-9D83-9E558E53DFDE}">
    <xltc:text>PASS — production d9be461f60175e9660c168860cfbad2408d78c60. Sheet/combat/clarity PASS: all six utility choices are understandable; the supplied pine-scent/quiet-chime sensory effect spends one Action and produces localized created/completed journal entries. Three dimensions confirmed: sheet/world usage where relevant, combat usage where relevant, and user-visible result clarity. Manual certificate: mini-mvp-cantrips-manual-v1.</xltc:text>
  </xltc:threadedComment>
  <xltc:threadedComment ref="L87" dT="2026-08-31T05:24:18.191" personId="{96D4E3EB-7F58-48C8-A98A-D1E864BC77CF}" id="{860A20A9-770E-430B-816F-38BC0D162CFA}">
    <xltc:text>Production browser evidence, 2026-08-31. Release afa3f6c30a96e29603a64d34ba09287610577b78. Retained Bard 100eb271-ad36-4045-9aea-ef0d01a9e395 cast Command I → “Падай” at a Wolf in the retained Human Wizard 356f2df5-2593-4b3d-a249-ebe72cbc42a5 scene. The Wolf rolled Wisdom 1+1=2 against DC 12 and failed. Exactly one action and one level-1 slot were spent. The target inspector and journal displayed only “действие”, with no command word, instructions, or duration. After ending the Bard turn, the live Wolf Start Turn logged only “Начало хода”: the command was not consumed, Prone was not applied, and the turn was not restricted. Commit c46b4ed persists “Приказ: Падай”, shows the next-turn instruction/duration, invokes the command resolver from the real Start Turn handler, applies “Сбит с ног”, and denies movement/action/bonus action until the commanded turn is ended. Focused engine and rules-session tests, lint, TypeScript, and production build passed. Production retest awaits Timecloud deployment. Character ID(s): 100eb271-ad36-4045-9aea-ef0d01a9e395; 356f2df5-2593-4b3d-a249-ebe72cbc42a5.</xltc:text>
  </xltc:threadedComment>
  <xltc:threadedComment ref="L87" dT="2026-09-01T11:42:52.697" personId="{49BE8344-C533-4AFE-AA6D-83DFAA214550}" id="{6C795A27-F5EB-4474-B8DC-4C1DF387CBF2}" parentId="{860A20A9-770E-430B-816F-38BC0D162CF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87" dT="2026-09-01T11:43:35.873" personId="{135C7728-5E52-4CA3-B52D-109045988E5D}" id="{452D2247-7D7A-4A73-88A7-72D4785842AD}" parentId="{860A20A9-770E-430B-816F-38BC0D162CF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96" dT="2026-08-31T05:24:18.193" personId="{96D4E3EB-7F58-48C8-A98A-D1E864BC77CF}" id="{931CC71F-40E0-469E-BA27-15E158521EBD}">
    <xltc:text>Production browser evidence, 2026-08-31. Release afa3f6c30a96e29603a64d34ba09287610577b78. Retained Human Wizard 356f2df5-2593-4b3d-a249-ebe72cbc42a5. Grease selected the training dummy as an enemy at 5 feet with explicit scene, line-of-sight, and cover facts. The target save dialog rolled 12 against DC 13. The deployed sheet then raised the hidden engine message “The compatible character sheet cannot resume canonical pending resolution target_save” and did not commit the action: action, slot, and free-use resources all stayed unchanged and no effect/journal entry was created. The production release predates the already-pushed target-save resume implementation; commit c46b4ed additionally translates this fallback into a clear Russian message explaining that resources were not spent. Production sheet and combat retest are required after Timecloud deployment. Character ID(s): 356f2df5-2593-4b3d-a249-ebe72cbc42a5.</xltc:text>
  </xltc:threadedComment>
  <xltc:threadedComment ref="L96" dT="2026-09-01T11:42:52.699" personId="{49BE8344-C533-4AFE-AA6D-83DFAA214550}" id="{CEBC2C4F-EC15-4794-AA5C-B92BBCFBC11B}" parentId="{931CC71F-40E0-469E-BA27-15E158521EB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6" dT="2026-09-01T11:43:35.875" personId="{135C7728-5E52-4CA3-B52D-109045988E5D}" id="{B8B5846D-AD89-4B56-86EC-6E5D273D2BA6}" parentId="{931CC71F-40E0-469E-BA27-15E158521EB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102" dT="2026-08-31T06:30:53.34" personId="{D310FBCD-2C4D-4468-9B5E-3DAA92B7830D}" id="{AF5B1ED4-7820-41AD-B0A5-F4575665C70F}">
    <xltc:text>Production browser evidence, 2026-08-31. Release afa3f6c30a96e29603a64d34ba09287610577b78. Retained Black Dragonborn Wizard “Тархун” 8060b4e5-fbd6-4c18-b371-32d52e12fdf1. Sheet/presentation: FAIL on the deployed release — the character owns Shield and combat offers it, but the full sheet omits it from both Actions and Spells, so the player cannot inspect the known spell there. Combat proactive boundary: FAIL but atomic — the ordinary hotbar showed Shield as enabled; clicking it returned raw “InvalidActionTiming” with entity/grant identifiers, while reaction 1/1 and slots 2/2 remained unchanged. Combat trigger: PASS — after Dodge, a Goblin Minion rolled 11 (discarded 13) +2 = 13 against AC 11; the reaction window paused before damage and offered Shield. Accepting Shield spent exactly one reaction and one level-1 slot, raised AC to 16, converted the triggering 13 into a miss, preserved HP 7/9 for that attack, journaled the effect, and removed it at the start of the Wizard's next turn. A second Goblin then hit AC 16 for 4, leaving the retained active scene at HP 3/9, slot 1/2, reaction restored 1/1. Clarity: the hover card explains +5 AC, duration, trigger, components, self target, and Magic Missile immunity; the reaction title “По вам попали” is clear, but its deployed button leaked “spell_slot_1”. Commit bf04305 disables proactive reaction activation with a player-facing reason, translates the fallback timing error, labels payment “Ячейка 1-го круга”, and shows the known reaction spell as a disabled inspectable card in the sheet's Spells section. Focused tests passed 23/23, lint and final TypeScript passed; an earlier production build in the same source batch compiled 4,624 modules. Status remains Needs retest until the Timecloud deployment is possible and the fixed UI plus the separate Magic Missile trigger are verified. Character ID(s): 8060b4e5-fbd6-4c18-b371-32d52e12fdf1.</xltc:text>
  </xltc:threadedComment>
  <xltc:threadedComment ref="L102" dT="2026-09-01T11:42:52.701" personId="{49BE8344-C533-4AFE-AA6D-83DFAA214550}" id="{73A325BB-F061-44EE-9711-71A242BC425A}" parentId="{AF5B1ED4-7820-41AD-B0A5-F4575665C70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102" dT="2026-09-01T11:43:35.877" personId="{135C7728-5E52-4CA3-B52D-109045988E5D}" id="{7DCCC86D-FAE1-4BC1-AC92-C230104ACFD3}" parentId="{AF5B1ED4-7820-41AD-B0A5-F4575665C70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2" dT="2026-08-31T06:52:15.71" personId="{784A279D-84A2-40AD-B4B7-80E58F9D98D9}" id="{1910C5A7-D551-43F4-AB9E-DE5342CBA108}">
    <xltc:text>Production browser evidence, 2026-08-31. Release afa3f6c30a96e29603a64d34ba09287610577b78. Retained Black Dragonborn Wizard “Тархун” 8060b4e5-fbd6-4c18-b371-32d52e12fdf1. Combat hover/detail clarity: PASS — the card explains the 30-foot sense, the later Magic action, aura/school disclosure, material blockers, self target, concentration up to ten minutes, ritual tag, components, action, and level-1 slot. Combat cast/resources: PASS — casting consumed action 1/1→0/1 and the final level-1 slot 1/2→0/2, preserved HP 3/9 and the active turn, and left the retained two-Goblin scene unfinished. Deployed result clarity: FAIL — the journal only said “Обнаружение магии: см. описание заклинания”; the combat drawer said there were no active states/effects; no concentration indicator, passive presence result, or “Магия” follow-up action appeared. The engine already owned the validated RevealMagicAura command, but dedicated combat had no adapter/UI caller. Commit 441d6b9 projects the active concentration, reports whether board-positioned magical objects are sensed within the canonical 30 feet, exposes “Проявить ауры · действие” only while the exact concentration is active, derives object facts from tactical positions/carriers, dispatches the canonical command, spends the action, and journals readable object/aura/school results or an explicit “магических аур не обнаружено”. Focused adapter plus core checks passed 2/2; targeted lint, full TypeScript, and a 4,624-module Vite/PWA/DiceBox production bundle passed. Character-sheet activation and deployed combat follow-up remain pending, so status is Needs retest. Character ID(s): 8060b4e5-fbd6-4c18-b371-32d52e12fdf1.</xltc:text>
  </xltc:threadedComment>
  <xltc:threadedComment ref="L72" dT="2026-08-31T07:52:16.519" personId="{AE763235-4FF3-4A0D-B883-84BE7ABD3565}" id="{6634512A-DB45-4B26-A5B3-27AB540F85A7}" parentId="{1910C5A7-D551-43F4-AB9E-DE5342CBA108}">
    <xltc:text>Production browser evidence update, 2026-08-31. Releases 79c80ce00c565b4d6e9bbeaa17b8d540e6228d02 (sheet clarity) and f53d2144e1263198f4267b81dcc0ffcf0194907e (combat behavior). Retained fresh Forge Human Wizard 6b474575-3eae-46b4-815f-d27ee696cf9c. Sheet: PASS — ritual cast spent action 1→0 and left level-1 slots at 2/2; after the deployed fix the sheet visibly states “Concentration: Detect Magic” and tells the user to return to the battlefield to reveal detected auras. Combat: PASS — a fresh current-version scene spent action 1→0 and level-1 slots 2→1, displayed “Concentration · 30 ft · no magic sensed”, retained concentration across scene resource refresh, enabled “Reveal auras · action”, spent the refreshed action, and journaled that no magical auras were found. Clarity: PASS for both surfaces. The completed scene and character were retained. The older Tархун scene remains useful evidence that already-persisted combat catalogs do not automatically retrofit post-deployment action contracts.</xltc:text>
  </xltc:threadedComment>
  <xltc:threadedComment ref="L72" dT="2026-09-01T11:42:52.693" personId="{49BE8344-C533-4AFE-AA6D-83DFAA214550}" id="{23B5CC52-5D1F-4011-8881-FB1194D9AF9F}" parentId="{1910C5A7-D551-43F4-AB9E-DE5342CBA108}">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72" dT="2026-09-01T11:43:35.87" personId="{135C7728-5E52-4CA3-B52D-109045988E5D}" id="{EB80D523-66F9-49C5-BBF9-D68370B1632E}" parentId="{1910C5A7-D551-43F4-AB9E-DE5342CBA108}">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14" dT="2026-08-31T07:00:33.844" personId="{A2312976-F29B-49F2-AA19-43208DFD3664}" id="{8FF7938D-F405-4335-8F00-DBED98987F63}">
    <xltc:text>Production browser evidence, 2026-08-31. Release afa3f6c30a96e29603a64d34ba09287610577b78. Retained Black Dragonborn Wizard “Тархун” 8060b4e5-fbd6-4c18-b371-32d52e12fdf1. Combat detail clarity: PASS — the card showed cantrip/necromancy, melee spell attack +5, 1d10 necrotic damage, healing prevention through the end of the caster's next turn, level scaling, touch, V/S, instantaneous casting, and action cost. Combat mechanics: PASS for declaration/attack/damage/effect — the adjacent Goblin Minion was selected at 5 feet; the spell spent action 1/1→0/1 and no slot; attack d20 12 +3 spellcasting +2 proficiency = 17 beat AC 12; damage d10 rolled 1 necrotic; HP changed 7/7→6/7; and the target received one named Chill Touch effect. Result clarity: FAIL on the deployed inspector — target inspection displayed only “Леденящее прикосновение”, with no anti-healing rule or duration. Current source already adds generic effect source/duration rows after this older production release. Commit 90dfbcc adds the remaining data-shape instruction for any modifier whose operation denies healing: “Не может восстанавливать Хиты.” It does not branch on the spell name. Focused verification passed 4/4 and covers the actual healing denial, source-turn arm/expiry lifecycle, shared formatter, and mounted combat inspector; lint and TypeScript passed. A direct browser healing attempt, deployed target explanation/expiry, and character-sheet activation remain pending, so status is Needs retest. The retained scene remains active and unfinished with Tархун at 3/9 HP and the affected Goblin at 6/7 HP. Character ID(s): 8060b4e5-fbd6-4c18-b371-32d52e12fdf1.</xltc:text>
  </xltc:threadedComment>
  <xltc:threadedComment ref="L14" dT="2026-08-31T07:52:16.518" personId="{AE763235-4FF3-4A0D-B883-84BE7ABD3565}" id="{74070745-7D9F-4762-83DF-F28B5E187926}" parentId="{8FF7938D-F405-4335-8F00-DBED98987F63}">
    <xltc:text>Production browser evidence, 2026-08-31. Release 79c80ce00c565b4d6e9bbeaa17b8d540e6228d02. Retained fresh Forge Human Wizard 6b474575-3eae-46b4-815f-d27ee696cf9c. Sheet: PASS — Chill Touch opened an explicit target-and-facts dialog, defaulted to the training target at 5 ft, rolled a visible natural 20 critical hit against AC 10, spent exactly one action and no spell slot, and recorded both the attack and applied effect. Combat: PASS — the fresh current-release scene rolled 18 +3 spellcasting +2 proficiency = 23 against AC 12, dealt 1 necrotic damage, and applied the anti-healing effect. Clarity: PASS — the Goblin inspector states the source, “until the end of the source's next turn”, and “Cannot restore Hit Points.” The character and completed combat log were retained.</xltc:text>
  </xltc:threadedComment>
  <xltc:threadedComment ref="L14" dT="2026-09-01T06:44:51.076" personId="{7191A839-9F44-4696-A784-BBA26E8BD86B}" id="{F8E86913-4125-4533-923D-040DDEE3AD47}" parentId="{8FF7938D-F405-4335-8F00-DBED98987F63}">
    <xltc:text>PASS — production d9be461f60175e9660c168860cfbad2408d78c60. Sheet/combat/clarity PASS: melee spell hit, necrotic damage and anti-healing effect execute; target inspection explains the healing ban and duration. Clean Warlock is retained in scene 420d2fbf-ce7b-490d-9f79-34fd209b8d1c. Three dimensions confirmed: sheet/world usage where relevant, combat usage where relevant, and user-visible result clarity. Manual certificate: mini-mvp-cantrips-manual-v1.</xltc:text>
  </xltc:threadedComment>
  <xltc:threadedComment ref="L104" dT="2026-09-01T06:44:51.041" personId="{7191A839-9F44-4696-A784-BBA26E8BD86B}" id="{FA9186B9-FAA0-426B-B0ED-11543D0C9D2D}">
    <xltc:text>PASS — production d9be461f60175e9660c168860cfbad2408d78c60. Sheet PASS: Action spend and 15-ft teleport/damage contract are explicit. Combat PASS on d9be461f60175e9660c168860cfbad2408d78c60: the hotbar now waits for a legal destination and moves the token by the chosen distance; line damage remains explicitly certified partial and visible in the card/journal. Clarity PASS: destination, movement and partial line boundary are readable. Retained scene owner: 420d2fbf-ce7b-490d-9f79-34fd209b8d1c. Three dimensions confirmed: sheet/world usage where relevant, combat usage where relevant, and user-visible result clarity. Manual certificate: mini-mvp-cantrips-manual-v1.</xltc:text>
  </xltc:threadedComment>
  <xltc:threadedComment ref="L6" dT="2026-09-01T06:44:51.048" personId="{7191A839-9F44-4696-A784-BBA26E8BD86B}" id="{042B915E-3D72-4B11-8B8D-84CCDCB4BD53}">
    <xltc:text>PASS — production d9be461f60175e9660c168860cfbad2408d78c60. Sheet/combat/clarity PASS: Dexterity save, acid damage, resource spend and target-owned save result were observed; the area boundary is explicitly certified partial and does not overclaim automatic map discovery. Three dimensions confirmed: sheet/world usage where relevant, combat usage where relevant, and user-visible result clarity. Manual certificate: mini-mvp-cantrips-manual-v1.</xltc:text>
  </xltc:threadedComment>
  <xltc:threadedComment ref="L6" dT="2026-09-02T04:09:46.18" personId="{23F9B60D-8713-4E2F-8572-F057B74A395A}" id="{97C8EDDE-C853-4399-810A-8AB64765849F}" parentId="{042B915E-3D72-4B11-8B8D-84CCDCB4BD53}">
    <xltc:text>POLISH PASS — production a79f20b27d6bbc67f0cfd016344ff7ac46ea319d. The card and combat resolver now agree: 60-foot range, player-selected center, 5-foot sphere, and Dexterity saves for every creature in the area. The combat result names targets, saves, damage and resource spend; it no longer presents a misleading single-creature contract. Character ID: 40036872-9c1e-4c88-aa61-73cc2bc046e5.</xltc:text>
  </xltc:threadedComment>
  <xltc:threadedComment ref="L8" dT="2026-09-01T06:44:51.058" personId="{7191A839-9F44-4696-A784-BBA26E8BD86B}" id="{414685CE-4CF2-4BD7-AFA0-6D9AFDFE34D5}">
    <xltc:text>PASS — production d9be461f60175e9660c168860cfbad2408d78c60. Sheet/combat/clarity PASS within the declared partial boundary: failed Wisdom save applies Charmed and concentration; the target inspector identifies the effect. Creature type, 24-hour repeat immunity and hostility lifecycle remain explicit GM limitations. Three dimensions confirmed: sheet/world usage where relevant, combat usage where relevant, and user-visible result clarity. Manual certificate: mini-mvp-cantrips-manual-v1.</xltc:text>
  </xltc:threadedComment>
  <xltc:threadedComment ref="L9" dT="2026-09-01T06:44:51.061" personId="{7191A839-9F44-4696-A784-BBA26E8BD86B}" id="{CEEB1F88-3336-4737-A886-975315360147}">
    <xltc:text>PASS — production d9be461f60175e9660c168860cfbad2408d78c60. Sheet/combat/clarity PASS within the declared partial boundary: an equipped quarterstaff can be selected, bonus action is spent, spellcasting ability/d8 profile and force-or-normal choice are visible. Releasing the weapon remains an explicit limitation. Three dimensions confirmed: sheet/world usage where relevant, combat usage where relevant, and user-visible result clarity. Manual certificate: mini-mvp-cantrips-manual-v1.</xltc:text>
  </xltc:threadedComment>
  <xltc:threadedComment ref="L10" dT="2026-09-01T06:44:51.064" personId="{7191A839-9F44-4696-A784-BBA26E8BD86B}" id="{26D45C2B-0B9B-4B79-80BC-BD9EE0596F69}">
    <xltc:text>PASS — production d9be461f60175e9660c168860cfbad2408d78c60. Sheet/combat/clarity PASS: self cast spends one Action, starts concentration and exposes the attacker −1d4 rule and duration in the effect guidance; focused combat rules coverage confirms the modifier. Three dimensions confirmed: sheet/world usage where relevant, combat usage where relevant, and user-visible result clarity. Manual certificate: mini-mvp-cantrips-manual-v1.</xltc:text>
  </xltc:threadedComment>
  <xltc:threadedComment ref="L11" dT="2026-09-01T06:44:51.065" personId="{7191A839-9F44-4696-A784-BBA26E8BD86B}" id="{632EAA3D-21FA-463F-9D0C-E6BFA3F7DFF8}">
    <xltc:text>PASS — production d9be461f60175e9660c168860cfbad2408d78c60. Sheet/combat/clarity PASS on clean Forge Bard: ranged spell hit, radiant damage and Action spend completed. Light/invisibility benefit is explicit in the card/journal and remains a declared map-lighting limitation. Retained scene owner: 420d2fbf-ce7b-490d-9f79-34fd209b8d1c. Three dimensions confirmed: sheet/world usage where relevant, combat usage where relevant, and user-visible result clarity. Manual certificate: mini-mvp-cantrips-manual-v1.</xltc:text>
  </xltc:threadedComment>
  <xltc:threadedComment ref="L12" dT="2026-09-01T06:44:51.069" personId="{7191A839-9F44-4696-A784-BBA26E8BD86B}" id="{04B62C39-C8D1-42CA-8C7D-7102C0D08F03}">
    <xltc:text>PASS — production d9be461f60175e9660c168860cfbad2408d78c60. Sheet/combat/clarity PASS on clean Forge Bard: failed Wisdom save dealt psychic damage and applied the next-attack disadvantage. Target guidance now explains both the penalty and one-use consumption. Retained scene owner: 420d2fbf-ce7b-490d-9f79-34fd209b8d1c. Three dimensions confirmed: sheet/world usage where relevant, combat usage where relevant, and user-visible result clarity. Manual certificate: mini-mvp-cantrips-manual-v1.</xltc:text>
  </xltc:threadedComment>
  <xltc:threadedComment ref="L13" dT="2026-09-01T06:44:51.071" personId="{7191A839-9F44-4696-A784-BBA26E8BD86B}" id="{AE3647FD-5770-4F5D-8D19-52F397DE55A0}">
    <xltc:text>PASS — production d9be461f60175e9660c168860cfbad2408d78c60. Sheet/world-scene/clarity PASS: the weather option spends one Action and creates the supplied forecast with a localized Russian label; other typed plant, sensory and fire options are covered by the shared world primitive. Actor combat targeting is not relevant. Three dimensions confirmed: sheet/world usage where relevant, combat usage where relevant, and user-visible result clarity. Manual certificate: mini-mvp-cantrips-manual-v1.</xltc:text>
  </xltc:threadedComment>
  <xltc:threadedComment ref="L17" dT="2026-09-01T06:44:51.09" personId="{7191A839-9F44-4696-A784-BBA26E8BD86B}" id="{DD124D94-61A6-4E92-A619-35C2C84E4888}">
    <xltc:text>PASS — production d9be461f60175e9660c168860cfbad2408d78c60. Sheet/combat/clarity PASS: Dexterity save and radiant damage resolve with one Action; cover handling is honestly retained as the certified partial boundary. Three dimensions confirmed: sheet/world usage where relevant, combat usage where relevant, and user-visible result clarity. Manual certificate: mini-mvp-cantrips-manual-v1.</xltc:text>
  </xltc:threadedComment>
  <xltc:threadedComment ref="L18" dT="2026-09-01T06:44:51.103" personId="{7191A839-9F44-4696-A784-BBA26E8BD86B}" id="{3623F33A-5F97-4387-92B6-5D5A23DCB906}">
    <xltc:text>PASS — production d9be461f60175e9660c168860cfbad2408d78c60. Sheet/combat/clarity PASS on clean Forge Warlock: critical ranged hit dealt 14 force damage, spent one Action and no slot, with attack and damage visible in the journal. Retained scene owner: 420d2fbf-ce7b-490d-9f79-34fd209b8d1c. Three dimensions confirmed: sheet/world usage where relevant, combat usage where relevant, and user-visible result clarity. Manual certificate: mini-mvp-cantrips-manual-v1.</xltc:text>
  </xltc:threadedComment>
  <xltc:threadedComment ref="L19" dT="2026-09-01T06:44:51.106" personId="{7191A839-9F44-4696-A784-BBA26E8BD86B}" id="{D97FF819-7CC1-4D28-AAAA-DF372E57272B}">
    <xltc:text>PASS — production d9be461f60175e9660c168860cfbad2408d78c60. Sheet/combat/clarity PASS: selected Athletics check, Action and concentration are persisted on the recipient; recipient guidance now says “Добавьте 1к4 к проверке «Атлетика»”. Three dimensions confirmed: sheet/world usage where relevant, combat usage where relevant, and user-visible result clarity. Manual certificate: mini-mvp-cantrips-manual-v1.</xltc:text>
  </xltc:threadedComment>
  <xltc:threadedComment ref="L22" dT="2026-09-01T06:44:51.113" personId="{7191A839-9F44-4696-A784-BBA26E8BD86B}" id="{CF085FAA-8E05-4C1B-B98A-F1F309A48B26}">
    <xltc:text>PASS — production d9be461f60175e9660c168860cfbad2408d78c60. Sheet/combat/clarity PASS: wounded/unhurt choice, Wisdom save and necrotic damage resolve; Action spend and target-save result are visible. Retained scene owner: 420d2fbf-ce7b-490d-9f79-34fd209b8d1c. Three dimensions confirmed: sheet/world usage where relevant, combat usage where relevant, and user-visible result clarity. Manual certificate: mini-mvp-cantrips-manual-v1.</xltc:text>
  </xltc:threadedComment>
  <xltc:threadedComment ref="L23" dT="2026-09-01T06:44:51.118" personId="{7191A839-9F44-4696-A784-BBA26E8BD86B}" id="{A0330E44-642F-4280-8105-EA3F04F31EE6}">
    <xltc:text>PASS — production d9be461f60175e9660c168860cfbad2408d78c60. Sheet/world-scene/clarity PASS: touched-object form validates an unrepaired break, spends the declared action after validation and persists the repaired object state. Encounter actor targeting is correctly not applicable. Three dimensions confirmed: sheet/world usage where relevant, combat usage where relevant, and user-visible result clarity. Manual certificate: mini-mvp-cantrips-manual-v1.</xltc:text>
  </xltc:threadedComment>
  <xltc:threadedComment ref="L24" dT="2026-09-01T06:44:51.12" personId="{7191A839-9F44-4696-A784-BBA26E8BD86B}" id="{605CB59A-3058-428E-8752-B6F960AAB491}">
    <xltc:text>PASS — production d9be461f60175e9660c168860cfbad2408d78c60. Sheet/combat/clarity PASS: Constitution save, emanation targeting, thunder damage and Action spend are covered; combat area geometry is engine-verified and the partial certificate states the map-selection boundary. Retained scene owner: 420d2fbf-ce7b-490d-9f79-34fd209b8d1c. Three dimensions confirmed: sheet/world usage where relevant, combat usage where relevant, and user-visible result clarity. Manual certificate: mini-mvp-cantrips-manual-v1.</xltc:text>
  </xltc:threadedComment>
  <xltc:threadedComment ref="L24" dT="2026-09-01T07:33:21.464" personId="{F7E2F29A-833E-41B4-B624-EB2AEFA53435}" id="{556AB8E4-8CB6-47B3-80E6-10FDBF26D19E}" parentId="{605CB59A-3058-428E-8752-B6F960AAB491}">
    <xltc:text>PASS — production 668344f9d6fcc4814e15d73b95b4cb0ade92a530. Sheet PASS: the card exposes the Constitution save, 5-ft emanation, 1d6 thunder damage and Action cost. Combat PASS in retained scene owned by 815c3e25-436a-4d2e-b34a-aed7ac287ba6: a diagonally adjacent goblin was selected by the emanation, Action changed 1/1 → 0/1, and the target resolved 19 +0 CON against DC 13 without an uncertified/mechanics dialog. Clarity PASS: the journal names the caster and target and shows the full save formula and outcome. Three dimensions confirmed: sheet usage, combat usage, and user-visible result clarity. Manual certificate: mini-mvp-cantrips-manual-v1.</xltc:text>
  </xltc:threadedComment>
  <xltc:threadedComment ref="L25" dT="2026-09-01T06:44:51.123" personId="{7191A839-9F44-4696-A784-BBA26E8BD86B}" id="{710507F2-FA56-4478-BAD0-6CABA822DFF4}">
    <xltc:text>PASS — production d9be461f60175e9660c168860cfbad2408d78c60. Sheet/combat/clarity PASS: Intelligence save, psychic damage and the next-save penalty resolve; the target-owned journal and inspector make source, die and expiry understandable. Three dimensions confirmed: sheet/world usage where relevant, combat usage where relevant, and user-visible result clarity. Manual certificate: mini-mvp-cantrips-manual-v1.</xltc:text>
  </xltc:threadedComment>
  <xltc:threadedComment ref="L27" dT="2026-09-01T06:44:51.129" personId="{7191A839-9F44-4696-A784-BBA26E8BD86B}" id="{451DB5DF-74E5-4CE7-BE90-8E78041098A1}">
    <xltc:text>PASS — production d9be461f60175e9660c168860cfbad2408d78c60. Sheet/combat/clarity PASS: failed Dexterity save dealt radiant damage, spent one Action and exposed the save/damage outcome. Cover handling remains the explicit partial boundary. Three dimensions confirmed: sheet/world usage where relevant, combat usage where relevant, and user-visible result clarity. Manual certificate: mini-mvp-cantrips-manual-v1.</xltc:text>
  </xltc:threadedComment>
  <xltc:threadedComment ref="L28" dT="2026-09-01T06:44:51.135" personId="{7191A839-9F44-4696-A784-BBA26E8BD86B}" id="{06F7144A-D0A9-48A0-AAF5-D2D8E20BBD9D}">
    <xltc:text>PASS — production d9be461f60175e9660c168860cfbad2408d78c60. Sheet/combat/clarity PASS: failed Constitution save dealt radiant damage and spent one Action; the emanation and per-target partial boundary are stated clearly. Three dimensions confirmed: sheet/world usage where relevant, combat usage where relevant, and user-visible result clarity. Manual certificate: mini-mvp-cantrips-manual-v1.</xltc:text>
  </xltc:threadedComment>
  <xltc:threadedComment ref="L29" dT="2026-09-01T06:44:51.139" personId="{7191A839-9F44-4696-A784-BBA26E8BD86B}" id="{CA519C54-8893-4EDB-AB55-DBFAA31D13C7}">
    <xltc:text>PASS — production d9be461f60175e9660c168860cfbad2408d78c60. Sheet/combat/clarity PASS: ally target receives a one-turn Message effect, Action is spent and both sheets expose source/delivery. Familiarity and obstacle material remain explicit world-fact limitations. Three dimensions confirmed: sheet/world usage where relevant, combat usage where relevant, and user-visible result clarity. Manual certificate: mini-mvp-cantrips-manual-v1.</xltc:text>
  </xltc:threadedComment>
  <xltc:threadedComment ref="L30" dT="2026-09-01T06:44:51.141" personId="{7191A839-9F44-4696-A784-BBA26E8BD86B}" id="{28F9847B-5594-4FAC-9168-F6B3618606D4}">
    <xltc:text>PASS — production d9be461f60175e9660c168860cfbad2408d78c60. Sheet/combat/clarity PASS: Fire choice, Action and concentration persist on the recipient; guidance now says damage type, 1d4 reduction and once-per-turn limit. Three dimensions confirmed: sheet/world usage where relevant, combat usage where relevant, and user-visible result clarity. Manual certificate: mini-mvp-cantrips-manual-v1.</xltc:text>
  </xltc:threadedComment>
  <xltc:threadedComment ref="L31" dT="2026-09-01T06:44:51.144" personId="{7191A839-9F44-4696-A784-BBA26E8BD86B}" id="{F41D1BE1-66B2-4543-8E7E-3C0638324C05}">
    <xltc:text>PASS — production d9be461f60175e9660c168860cfbad2408d78c60. Sheet/combat/clarity PASS: 2024 Bonus Action, ranged hit, fire damage and light narrative resolve. A durable carried-flame object remains the explicit partial boundary. Three dimensions confirmed: sheet/world usage where relevant, combat usage where relevant, and user-visible result clarity. Manual certificate: mini-mvp-cantrips-manual-v1.</xltc:text>
  </xltc:threadedComment>
  <xltc:threadedComment ref="L32" dT="2026-09-01T06:44:51.146" personId="{7191A839-9F44-4696-A784-BBA26E8BD86B}" id="{6CA994F4-06E7-4EFF-B8D7-18E5736A5D49}">
    <xltc:text>PASS — production d9be461f60175e9660c168860cfbad2408d78c60. Sheet/world-scene/clarity PASS: typed elemental option executes and journal operations are localized (air, earth, fire and water). Visual mutation of map art remains an explicit narrative boundary. Three dimensions confirmed: sheet/world usage where relevant, combat usage where relevant, and user-visible result clarity. Manual certificate: mini-mvp-cantrips-manual-v1.</xltc:text>
  </xltc:threadedComment>
  <xltc:threadedComment ref="L33" dT="2026-09-01T06:44:51.148" personId="{7191A839-9F44-4696-A784-BBA26E8BD86B}" id="{45B91123-6293-45A9-9EFF-DF36B67A81B1}">
    <xltc:text>PASS — production d9be461f60175e9660c168860cfbad2408d78c60. Sheet/combat/clarity PASS: melee spell attack at range, piercing damage and 10-ft pull event resolve and are visible; automatic token displacement/size enforcement remains explicit partial scope. Three dimensions confirmed: sheet/world usage where relevant, combat usage where relevant, and user-visible result clarity. Manual certificate: mini-mvp-cantrips-manual-v1.</xltc:text>
  </xltc:threadedComment>
  <xltc:threadedComment ref="L34" dT="2026-09-01T06:44:51.152" personId="{7191A839-9F44-4696-A784-BBA26E8BD86B}" id="{1AE07DFF-4F31-4CFE-AEC2-8A814FD26D52}">
    <xltc:text>PASS — production d9be461f60175e9660c168860cfbad2408d78c60. Sheet/combat/clarity PASS: after explicit 0-HP setup and fresh target facts, the spell stabilizes the ally and journals “Цель стабилизирована”; HP was restored afterward and both characters are retained. Three dimensions confirmed: sheet/world usage where relevant, combat usage where relevant, and user-visible result clarity. Manual certificate: mini-mvp-cantrips-manual-v1.</xltc:text>
  </xltc:threadedComment>
  <xltc:threadedComment ref="L36" dT="2026-09-01T06:44:51.154" personId="{7191A839-9F44-4696-A784-BBA26E8BD86B}" id="{44C3358E-67ED-4E15-A15F-215FE0B7C40A}">
    <xltc:text>PASS — production d9be461f60175e9660c168860cfbad2408d78c60. Sheet/combat/clarity PASS on clean Forge Sorcerer: Sound choice requested the correct exploding 3d8 chain, accepted 8/8/3 and dealt 19 thunder with one Action. Retained scene owner: 420d2fbf-ce7b-490d-9f79-34fd209b8d1c. Three dimensions confirmed: sheet/world usage where relevant, combat usage where relevant, and user-visible result clarity. Manual certificate: mini-mvp-cantrips-manual-v1.</xltc:text>
  </xltc:threadedComment>
  <xltc:threadedComment ref="L37" dT="2026-09-01T06:44:51.157" personId="{7191A839-9F44-4696-A784-BBA26E8BD86B}" id="{DB17355C-5E98-4AF2-B729-E325225C6165}">
    <xltc:text>PASS — production d9be461f60175e9660c168860cfbad2408d78c60. Sheet/combat/clarity PASS: Booming Voice spends one Action and applies the one-minute effect; recipient guidance explicitly says advantage on Intimidation. Other typed narrative options remain visible. Three dimensions confirmed: sheet/world usage where relevant, combat usage where relevant, and user-visible result clarity. Manual certificate: mini-mvp-cantrips-manual-v1.</xltc:text>
  </xltc:threadedComment>
  <xltc:threadedComment ref="L38" dT="2026-09-01T06:44:51.159" personId="{7191A839-9F44-4696-A784-BBA26E8BD86B}" id="{61371A94-0A06-4525-A7EF-FBECAB28AB92}">
    <xltc:text>PASS — production d9be461f60175e9660c168860cfbad2408d78c60. Sheet/combat/clarity PASS: melee spell hit, lightning damage, Action spend and “no opportunity attacks” consequence are visible; automated opportunity-attack suppression remains explicit partial scope. Three dimensions confirmed: sheet/world usage where relevant, combat usage where relevant, and user-visible result clarity. Manual certificate: mini-mvp-cantrips-manual-v1.</xltc:text>
  </xltc:threadedComment>
  <xltc:threadedComment ref="L40" dT="2026-09-01T11:42:52.681" personId="{49BE8344-C533-4AFE-AA6D-83DFAA214550}" id="{AFD686FE-FBD5-4740-9812-C7E4D2C225F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ltc:text>
  </xltc:threadedComment>
  <xltc:threadedComment ref="L40" dT="2026-09-01T11:43:35.857" personId="{135C7728-5E52-4CA3-B52D-109045988E5D}" id="{0DB9F047-3332-408C-A56E-67B7A5D1B595}" parentId="{AFD686FE-FBD5-4740-9812-C7E4D2C225F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ltc:text>
  </xltc:threadedComment>
  <xltc:threadedComment ref="L41" dT="2026-09-01T11:42:52.682" personId="{49BE8344-C533-4AFE-AA6D-83DFAA214550}" id="{5BC21C43-3992-4545-B643-59FDFD0AD338}">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Состояние, обнаружение и управление иллюзией проверены; размещение и визуальная смена образа ещё не подключены к карте. Three dimensions confirmed where relevant. Manual approval: mini-mvp-level1-spells-manual-v1; stronger evidence-locked certificates are preserved.</xltc:text>
  </xltc:threadedComment>
  <xltc:threadedComment ref="L41" dT="2026-09-01T11:43:35.858" personId="{135C7728-5E52-4CA3-B52D-109045988E5D}" id="{891E2116-120E-447F-B209-140FFB13D1EA}" parentId="{5BC21C43-3992-4545-B643-59FDFD0AD338}">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Состояние, обнаружение и управление иллюзией проверены; размещение и визуальная смена образа ещё не подключены к карте. Three dimensions confirmed where relevant. Manual approval: mini-mvp-level1-spells-manual-v1; stronger evidence-locked certificates are preserved.</xltc:text>
  </xltc:threadedComment>
  <xltc:threadedComment ref="L42" dT="2026-09-01T11:42:52.683" personId="{49BE8344-C533-4AFE-AA6D-83DFAA214550}" id="{D184FA69-7ACD-4F92-8B24-CF251C7A80F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42" dT="2026-09-01T11:43:35.859" personId="{135C7728-5E52-4CA3-B52D-109045988E5D}" id="{F91115FA-8269-4085-9D15-C7D11941BCB9}" parentId="{D184FA69-7ACD-4F92-8B24-CF251C7A80F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43" dT="2026-09-01T11:42:52.683" personId="{49BE8344-C533-4AFE-AA6D-83DFAA214550}" id="{3F219531-1254-44BE-A655-F36801A7966C}">
    <xltc:text>PASS — production runtime 04b137ac0e2a0bc5bdce0b224ec0d414bce50ec6. Combat PASS on retained Paladin e521c39b-5f3a-4c61-a78a-3f9bafb04a9f: the post-hit choice spent Bonus Action and a slot and dealt 10 radiant damage (5+5), with no unresolved decision left.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43" dT="2026-09-01T11:43:35.859" personId="{135C7728-5E52-4CA3-B52D-109045988E5D}" id="{C98A96C3-B37F-41E4-98E1-725EA658AEA8}" parentId="{3F219531-1254-44BE-A655-F36801A7966C}">
    <xltc:text>PASS — production runtime 04b137ac0e2a0bc5bdce0b224ec0d414bce50ec6. Combat PASS on retained Paladin e521c39b-5f3a-4c61-a78a-3f9bafb04a9f: the post-hit choice spent Bonus Action and a slot and dealt 10 radiant damage (5+5), with no unresolved decision left.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44" dT="2026-09-01T11:42:52.684" personId="{49BE8344-C533-4AFE-AA6D-83DFAA214550}" id="{93A3BD18-C2D5-431D-9431-9B1916F450F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44" dT="2026-09-01T11:43:35.86" personId="{135C7728-5E52-4CA3-B52D-109045988E5D}" id="{48465AC0-6F71-4C74-9B2E-9F3456B47ED0}" parentId="{93A3BD18-C2D5-431D-9431-9B1916F450F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45" dT="2026-09-01T11:42:52.684" personId="{49BE8344-C533-4AFE-AA6D-83DFAA214550}" id="{B1E869F5-D7E4-442F-A3E7-52F7A28A92C0}">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45" dT="2026-09-01T11:43:35.861" personId="{135C7728-5E52-4CA3-B52D-109045988E5D}" id="{3A72AF88-6D90-4126-8503-78F0B3AD4338}" parentId="{B1E869F5-D7E4-442F-A3E7-52F7A28A92C0}">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48" dT="2026-09-01T11:42:52.686" personId="{49BE8344-C533-4AFE-AA6D-83DFAA214550}" id="{90027AF7-31EC-442E-A625-1F6FF3033D41}">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Запрет добровольно уходить дальше 30 футов и досрочные условия завершения пока требуют авторитетного адаптера геометрии и союзников.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48" dT="2026-09-01T11:43:35.863" personId="{135C7728-5E52-4CA3-B52D-109045988E5D}" id="{78C7352E-6CD9-4A79-8050-547AB5CD0CD6}" parentId="{90027AF7-31EC-442E-A625-1F6FF3033D41}">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Запрет добровольно уходить дальше 30 футов и досрочные условия завершения пока требуют авторитетного адаптера геометрии и союзников.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49" dT="2026-09-01T11:42:52.687" personId="{49BE8344-C533-4AFE-AA6D-83DFAA214550}" id="{E9B09DCC-DBF8-4E88-AB07-51CB7BA9793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49" dT="2026-09-01T11:43:35.863" personId="{135C7728-5E52-4CA3-B52D-109045988E5D}" id="{B5922CBC-D894-48BE-B827-4983FE391F1D}" parentId="{E9B09DCC-DBF8-4E88-AB07-51CB7BA9793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50" dT="2026-09-01T11:42:52.687" personId="{49BE8344-C533-4AFE-AA6D-83DFAA214550}" id="{3ABEFDEE-6096-43AD-B329-1F88C5CC9160}">
    <xltc:text>PASS — production runtime 04b137ac0e2a0bc5bdce0b224ec0d414bce50ec6. Combat PASS on retained Paladin e521c39b-5f3a-4c61-a78a-3f9bafb04a9f: the post-hit choice spent Bonus Action and a slot, dealt 5 necrotic damage, and a failed WIS 11 vs DC 12 applied a visible Frightened effect.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0" dT="2026-09-01T11:43:35.863" personId="{135C7728-5E52-4CA3-B52D-109045988E5D}" id="{CD267070-3110-44AF-995E-52B4347AD082}" parentId="{3ABEFDEE-6096-43AD-B329-1F88C5CC9160}">
    <xltc:text>PASS — production runtime 04b137ac0e2a0bc5bdce0b224ec0d414bce50ec6. Combat PASS on retained Paladin e521c39b-5f3a-4c61-a78a-3f9bafb04a9f: the post-hit choice spent Bonus Action and a slot, dealt 5 necrotic damage, and a failed WIS 11 vs DC 12 applied a visible Frightened effect.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1" dT="2026-09-01T11:42:52.687" personId="{49BE8344-C533-4AFE-AA6D-83DFAA214550}" id="{0A174EE0-0C3E-426A-8210-5B8CCB70E935}">
    <xltc:text>PASS — production runtime 04b137ac0e2a0bc5bdce0b224ec0d414bce50ec6. Combat PASS on retained Ranger b43c121b-971b-4f92-8726-01c724d2734e: the post-hit choice appeared, Bonus Action and one level-1 slot were spent, the target save auto-resolved, and the journal showed 2 piercing damage on a successful save. The 5-ft secondary-target selection remains an explicit manual boundary and is stated to the user.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1" dT="2026-09-01T11:43:35.864" personId="{135C7728-5E52-4CA3-B52D-109045988E5D}" id="{1AB28A2A-6A43-4CF3-BC43-E5920963CC86}" parentId="{0A174EE0-0C3E-426A-8210-5B8CCB70E935}">
    <xltc:text>PASS — production runtime 04b137ac0e2a0bc5bdce0b224ec0d414bce50ec6. Combat PASS on retained Ranger b43c121b-971b-4f92-8726-01c724d2734e: the post-hit choice appeared, Bonus Action and one level-1 slot were spent, the target save auto-resolved, and the journal showed 2 piercing damage on a successful save. The 5-ft secondary-target selection remains an explicit manual boundary and is stated to the user.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2" dT="2026-09-01T11:42:52.688" personId="{49BE8344-C533-4AFE-AA6D-83DFAA214550}" id="{86F790ED-B896-4D8C-A8C6-4E700A1415C8}">
    <xltc:text>PASS — production runtime 04b137ac0e2a0bc5bdce0b224ec0d414bce50ec6. Sheet and shared post-hit combat pipeline PASS on retained Paladin e521c39b-5f3a-4c61-a78a-3f9bafb04a9f. Trigger ownership, target, Bonus Action/slot spend, and outcome journaling are confirmed; automatic push/prone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2" dT="2026-09-01T11:43:35.864" personId="{135C7728-5E52-4CA3-B52D-109045988E5D}" id="{57DF78D4-864E-4DC2-A948-45ADBD6EEB6B}" parentId="{86F790ED-B896-4D8C-A8C6-4E700A1415C8}">
    <xltc:text>PASS — production runtime 04b137ac0e2a0bc5bdce0b224ec0d414bce50ec6. Sheet and shared post-hit combat pipeline PASS on retained Paladin e521c39b-5f3a-4c61-a78a-3f9bafb04a9f. Trigger ownership, target, Bonus Action/slot spend, and outcome journaling are confirmed; automatic push/prone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53" dT="2026-09-01T11:42:52.688" personId="{49BE8344-C533-4AFE-AA6D-83DFAA214550}" id="{7F14A86A-1FE0-4C8C-B303-DC28BD242EC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3" dT="2026-09-01T11:43:35.864" personId="{135C7728-5E52-4CA3-B52D-109045988E5D}" id="{995205F9-DFC2-40EB-9645-3838816FBC36}" parentId="{7F14A86A-1FE0-4C8C-B303-DC28BD242EC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4" dT="2026-09-01T11:42:52.688" personId="{49BE8344-C533-4AFE-AA6D-83DFAA214550}" id="{DABF92FB-A2B5-41DA-AB3F-FCD60A35095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Количество, срок, Бонусное действие, лечение и насыщение проверены; передача ягод другому существу ещё не подключена к инвентарю сцены. Three dimensions confirmed where relevant. Manual approval: mini-mvp-level1-spells-manual-v1; stronger evidence-locked certificates are preserved.</xltc:text>
  </xltc:threadedComment>
  <xltc:threadedComment ref="L54" dT="2026-09-01T11:43:35.865" personId="{135C7728-5E52-4CA3-B52D-109045988E5D}" id="{FBC409FD-2E83-4395-909C-CC978F01AEBD}" parentId="{DABF92FB-A2B5-41DA-AB3F-FCD60A35095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Количество, срок, Бонусное действие, лечение и насыщение проверены; передача ягод другому существу ещё не подключена к инвентарю сцены. Three dimensions confirmed where relevant. Manual approval: mini-mvp-level1-spells-manual-v1; stronger evidence-locked certificates are preserved.</xltc:text>
  </xltc:threadedComment>
  <xltc:threadedComment ref="L55" dT="2026-09-01T11:42:52.688" personId="{49BE8344-C533-4AFE-AA6D-83DFAA214550}" id="{742A2986-9CD1-4CE1-9F57-6F68D8CE73E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55" dT="2026-09-01T11:43:35.865" personId="{135C7728-5E52-4CA3-B52D-109045988E5D}" id="{2F5026B6-E38D-4625-AB9C-D96A60AB504E}" parentId="{742A2986-9CD1-4CE1-9F57-6F68D8CE73E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57" dT="2026-09-01T11:42:52.689" personId="{49BE8344-C533-4AFE-AA6D-83DFAA214550}" id="{DFD7E331-21A8-42C6-B5D0-CCF7C67A939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7" dT="2026-09-01T11:43:35.865" personId="{135C7728-5E52-4CA3-B52D-109045988E5D}" id="{9A17C7BF-04D1-4DBE-B8A9-ECEC068BE76C}" parentId="{DFD7E331-21A8-42C6-B5D0-CCF7C67A939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8" dT="2026-09-01T11:42:52.689" personId="{49BE8344-C533-4AFE-AA6D-83DFAA214550}" id="{53098F77-C4CF-44DF-98BD-B7ADED37C1B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8" dT="2026-09-01T11:43:35.866" personId="{135C7728-5E52-4CA3-B52D-109045988E5D}" id="{6E4FEE8E-5FA6-4EF5-B29D-5DA1F20945A3}" parentId="{53098F77-C4CF-44DF-98BD-B7ADED37C1B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59" dT="2026-09-01T11:42:52.69" personId="{49BE8344-C533-4AFE-AA6D-83DFAA214550}" id="{F2E869C0-A82F-46DA-99CD-92C7868F367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Защита от одержимости и преимущество на новые спасброски против уже действующего Очарования, Испуга или одержимости требуют source-aware связи состояния с типом наложившего существа.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59" dT="2026-09-01T11:43:35.866" personId="{135C7728-5E52-4CA3-B52D-109045988E5D}" id="{1464B185-B719-4E8A-B775-9C21F96EEC55}" parentId="{F2E869C0-A82F-46DA-99CD-92C7868F367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Защита от одержимости и преимущество на новые спасброски против уже действующего Очарования, Испуга или одержимости требуют source-aware связи состояния с типом наложившего существа.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60" dT="2026-09-01T11:42:52.69" personId="{49BE8344-C533-4AFE-AA6D-83DFAA214550}" id="{6CD651AE-8A6F-4398-A7C5-D9594D64352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Политика чтения и жизненный цикл иллюзии проверены; текст документа, читатели и расход материального компонента остаются за адаптером предметов. Three dimensions confirmed where relevant. Manual approval: mini-mvp-level1-spells-manual-v1; stronger evidence-locked certificates are preserved.</xltc:text>
  </xltc:threadedComment>
  <xltc:threadedComment ref="L60" dT="2026-09-01T11:43:35.866" personId="{135C7728-5E52-4CA3-B52D-109045988E5D}" id="{20DB14F2-8716-47E2-9759-B183139F6E55}" parentId="{6CD651AE-8A6F-4398-A7C5-D9594D64352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Политика чтения и жизненный цикл иллюзии проверены; текст документа, читатели и расход материального компонента остаются за адаптером предметов. Three dimensions confirmed where relevant. Manual approval: mini-mvp-level1-spells-manual-v1; stronger evidence-locked certificates are preserved.</xltc:text>
  </xltc:threadedComment>
  <xltc:threadedComment ref="L61" dT="2026-09-01T11:42:52.69" personId="{49BE8344-C533-4AFE-AA6D-83DFAA214550}" id="{9A57B4FC-1DD0-47FA-9317-B4A60FAAFC3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1" dT="2026-09-01T11:43:35.867" personId="{135C7728-5E52-4CA3-B52D-109045988E5D}" id="{030A4C4F-20E6-45EA-9BCA-73818905FD24}" parentId="{9A57B4FC-1DD0-47FA-9317-B4A60FAAFC3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2" dT="2026-09-01T11:42:52.69" personId="{49BE8344-C533-4AFE-AA6D-83DFAA214550}" id="{9B770183-F695-437D-BAEF-ECAC086CEF1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2" dT="2026-09-01T11:43:35.867" personId="{135C7728-5E52-4CA3-B52D-109045988E5D}" id="{A848201B-FA7D-400D-8C07-73D8F93CFF94}" parentId="{9B770183-F695-437D-BAEF-ECAC086CEF1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5" dT="2026-09-01T11:42:52.691" personId="{49BE8344-C533-4AFE-AA6D-83DFAA214550}" id="{07B1E541-0BF1-4C7F-8837-EEA4BBA1F2F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Ограничения облика и обнаружение проверены; редактор внешности и физический контакт ещё не подключены к UI сцены. Three dimensions confirmed where relevant. Manual approval: mini-mvp-level1-spells-manual-v1; stronger evidence-locked certificates are preserved.</xltc:text>
  </xltc:threadedComment>
  <xltc:threadedComment ref="L65" dT="2026-09-01T11:43:35.868" personId="{135C7728-5E52-4CA3-B52D-109045988E5D}" id="{A574DC48-862C-4A95-A897-4592BEAAD0FC}" parentId="{07B1E541-0BF1-4C7F-8837-EEA4BBA1F2F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Ограничения облика и обнаружение проверены; редактор внешности и физический контакт ещё не подключены к UI сцены. Three dimensions confirmed where relevant. Manual approval: mini-mvp-level1-spells-manual-v1; stronger evidence-locked certificates are preserved.</xltc:text>
  </xltc:threadedComment>
  <xltc:threadedComment ref="L66" dT="2026-09-01T11:42:52.692" personId="{49BE8344-C533-4AFE-AA6D-83DFAA214550}" id="{5C8D5D4F-C3C3-43B8-9299-C03BBBC03EA7}">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Преимущество на проверки Мудрости (Восприятие и Выживание) для поиска отмеченной цели и перенос метки после падения цели требуют явного выбора связанной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66" dT="2026-09-01T11:43:35.868" personId="{135C7728-5E52-4CA3-B52D-109045988E5D}" id="{E0EA3AFD-119B-436C-897B-271E32BDEA36}" parentId="{5C8D5D4F-C3C3-43B8-9299-C03BBBC03EA7}">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Преимущество на проверки Мудрости (Восприятие и Выживание) для поиска отмеченной цели и перенос метки после падения цели требуют явного выбора связанной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67" dT="2026-09-01T11:42:52.692" personId="{49BE8344-C533-4AFE-AA6D-83DFAA214550}" id="{75559EAE-4C65-451C-9888-A60C0BC8454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7" dT="2026-09-01T11:43:35.868" personId="{135C7728-5E52-4CA3-B52D-109045988E5D}" id="{B3C13D8A-8A8F-4563-A8EA-00A25FFF6228}" parentId="{75559EAE-4C65-451C-9888-A60C0BC8454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68" dT="2026-09-01T11:42:52.692" personId="{49BE8344-C533-4AFE-AA6D-83DFAA214550}" id="{5C140877-CDCB-4ED9-9A4B-50F8E32AF30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68" dT="2026-09-01T11:43:35.868" personId="{135C7728-5E52-4CA3-B52D-109045988E5D}" id="{D6828876-1DE4-480B-9E44-94D5E9FB2F18}" parentId="{5C140877-CDCB-4ED9-9A4B-50F8E32AF30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69" dT="2026-09-01T11:42:52.692" personId="{49BE8344-C533-4AFE-AA6D-83DFAA214550}" id="{791E5864-5AF7-414B-97FD-A66BF6CFBE7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Стат-блок, запрет атаки, команда, скорость и привязка проверены; отдельный актёр и токен слуги ещё не создаются на карте. Three dimensions confirmed where relevant. Manual approval: mini-mvp-level1-spells-manual-v1; stronger evidence-locked certificates are preserved.</xltc:text>
  </xltc:threadedComment>
  <xltc:threadedComment ref="L69" dT="2026-09-01T11:43:35.869" personId="{135C7728-5E52-4CA3-B52D-109045988E5D}" id="{E6E0B2BA-4691-4661-83EE-89BFFC79D407}" parentId="{791E5864-5AF7-414B-97FD-A66BF6CFBE7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Стат-блок, запрет атаки, команда, скорость и привязка проверены; отдельный актёр и токен слуги ещё не создаются на карте. Three dimensions confirmed where relevant. Manual approval: mini-mvp-level1-spells-manual-v1; stronger evidence-locked certificates are preserved.</xltc:text>
  </xltc:threadedComment>
  <xltc:threadedComment ref="L70" dT="2026-09-01T11:42:52.693" personId="{49BE8344-C533-4AFE-AA6D-83DFAA214550}" id="{F1D14315-9929-48A1-9963-C4E0A11DDF11}">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0" dT="2026-09-01T11:43:35.869" personId="{135C7728-5E52-4CA3-B52D-109045988E5D}" id="{3248EDA6-D811-44C4-AFFD-D5C74CC8AA5E}" parentId="{F1D14315-9929-48A1-9963-C4E0A11DDF11}">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1" dT="2026-09-01T11:42:52.693" personId="{49BE8344-C533-4AFE-AA6D-83DFAA214550}" id="{706520B8-9C2C-4CF6-9359-F3F09712B0D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Типы существ, дальность и материальные блокеры проверены; карта ещё не передаёт движку типы и препятствия. Three dimensions confirmed where relevant. Manual approval: mini-mvp-level1-spells-manual-v1; stronger evidence-locked certificates are preserved.</xltc:text>
  </xltc:threadedComment>
  <xltc:threadedComment ref="L71" dT="2026-09-01T11:43:35.869" personId="{135C7728-5E52-4CA3-B52D-109045988E5D}" id="{36BD7D40-CEC6-49C2-A9DC-DED032906893}" parentId="{706520B8-9C2C-4CF6-9359-F3F09712B0D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Типы существ, дальность и материальные блокеры проверены; карта ещё не передаёт движку типы и препятствия. Three dimensions confirmed where relevant. Manual approval: mini-mvp-level1-spells-manual-v1; stronger evidence-locked certificates are preserved.</xltc:text>
  </xltc:threadedComment>
  <xltc:threadedComment ref="L73" dT="2026-09-01T11:42:52.693" personId="{49BE8344-C533-4AFE-AA6D-83DFAA214550}" id="{1B5D850B-2BCE-40B9-B3C1-6E770462D46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3" dT="2026-09-01T11:43:35.87" personId="{135C7728-5E52-4CA3-B52D-109045988E5D}" id="{6ADAEFE2-B01C-4920-B0E9-092248193851}" parentId="{1B5D850B-2BCE-40B9-B3C1-6E770462D46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4" dT="2026-09-01T11:42:52.694" personId="{49BE8344-C533-4AFE-AA6D-83DFAA214550}" id="{9738E611-BE17-4BDE-BD17-5F663335815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4" dT="2026-09-01T11:43:35.87" personId="{135C7728-5E52-4CA3-B52D-109045988E5D}" id="{682ED562-E3B2-4CA4-8AE3-56BEC798676B}" parentId="{9738E611-BE17-4BDE-BD17-5F663335815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75" dT="2026-09-01T11:42:52.694" personId="{49BE8344-C533-4AFE-AA6D-83DFAA214550}" id="{5DE2A893-F8F3-471B-A555-4EDCE9F976C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Затронутая цель излучает тусклый свет в радиусе 10 футов и не может получать преимущества от состояния «Невидимый»; свет и мировые объекты пока учитываются адаптером сцены.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75" dT="2026-09-01T11:43:35.871" personId="{135C7728-5E52-4CA3-B52D-109045988E5D}" id="{C1C103FD-470B-40C5-84BB-0B4FB57D45F1}" parentId="{5DE2A893-F8F3-471B-A555-4EDCE9F976C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Затронутая цель излучает тусклый свет в радиусе 10 футов и не может получать преимущества от состояния «Невидимый»; свет и мировые объекты пока учитываются адаптером сцены.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76" dT="2026-09-01T11:42:52.694" personId="{49BE8344-C533-4AFE-AA6D-83DFAA214550}" id="{785A002C-5614-469F-B90A-8324E26E1CE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Набор раскрываемых сведений типизирован; выбор объекта и проекция свойств реального предмета ещё не подключены к сцене. Three dimensions confirmed where relevant. Manual approval: mini-mvp-level1-spells-manual-v1; stronger evidence-locked certificates are preserved.</xltc:text>
  </xltc:threadedComment>
  <xltc:threadedComment ref="L76" dT="2026-09-01T11:43:35.871" personId="{135C7728-5E52-4CA3-B52D-109045988E5D}" id="{43BCF568-B5CE-4129-ABBA-5126372E246C}" parentId="{785A002C-5614-469F-B90A-8324E26E1CEF}">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Набор раскрываемых сведений типизирован; выбор объекта и проекция свойств реального предмета ещё не подключены к сцене. Three dimensions confirmed where relevant. Manual approval: mini-mvp-level1-spells-manual-v1; stronger evidence-locked certificates are preserved.</xltc:text>
  </xltc:threadedComment>
  <xltc:threadedComment ref="L77" dT="2026-09-01T11:42:52.694" personId="{49BE8344-C533-4AFE-AA6D-83DFAA214550}" id="{83F00D31-3871-48D3-9FF7-25B4D08C35C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77" dT="2026-09-01T11:43:35.871" personId="{135C7728-5E52-4CA3-B52D-109045988E5D}" id="{3337E6AF-4AF4-4825-A771-8DCE74BF3106}" parentId="{83F00D31-3871-48D3-9FF7-25B4D08C35C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78" dT="2026-09-01T11:42:52.695" personId="{49BE8344-C533-4AFE-AA6D-83DFAA214550}" id="{ABA4756F-C0CC-4A44-9A67-0492C940A709}">
    <xltc:text>PASS — production runtime 04b137ac0e2a0bc5bdce0b224ec0d414bce50ec6. Combat PASS on retained Ranger b43c121b-971b-4f92-8726-01c724d2734e: the post-hit choice spent Bonus Action and a slot; the Wolf failed STR 3 vs DC 12, gained the visible Restrained condition, and the inspector/journal explained ongoing 1d6 damage, the escape Athletics action, and size advantage.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78" dT="2026-09-01T11:43:35.871" personId="{135C7728-5E52-4CA3-B52D-109045988E5D}" id="{B3263770-C0FD-43A0-B139-F4C678D69A77}" parentId="{ABA4756F-C0CC-4A44-9A67-0492C940A709}">
    <xltc:text>PASS — production runtime 04b137ac0e2a0bc5bdce0b224ec0d414bce50ec6. Combat PASS on retained Ranger b43c121b-971b-4f92-8726-01c724d2734e: the post-hit choice spent Bonus Action and a slot; the Wolf failed STR 3 vs DC 12, gained the visible Restrained condition, and the inspector/journal explained ongoing 1d6 damage, the escape Athletics action, and size advantage.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79" dT="2026-09-01T11:42:52.695" personId="{49BE8344-C533-4AFE-AA6D-83DFAA214550}" id="{72B7571C-6FF9-4639-94A4-F01049E618F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79" dT="2026-09-01T11:43:35.872" personId="{135C7728-5E52-4CA3-B52D-109045988E5D}" id="{78B055E9-2060-40E7-B8EC-83563D6B90ED}" parentId="{72B7571C-6FF9-4639-94A4-F01049E618F5}">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80" dT="2026-09-01T11:42:52.695" personId="{49BE8344-C533-4AFE-AA6D-83DFAA214550}" id="{CCC473E4-44BA-47D2-871B-1E5C3A65856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80" dT="2026-09-01T11:43:35.872" personId="{135C7728-5E52-4CA3-B52D-109045988E5D}" id="{95F7A8E0-C913-42FC-AA24-B7110CCC2536}" parentId="{CCC473E4-44BA-47D2-871B-1E5C3A65856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81" dT="2026-09-01T11:42:52.695" personId="{49BE8344-C533-4AFE-AA6D-83DFAA214550}" id="{19DBF096-558F-4C96-BE80-D8DD9A90EFA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ltc:text>
  </xltc:threadedComment>
  <xltc:threadedComment ref="L81" dT="2026-09-01T11:43:35.872" personId="{135C7728-5E52-4CA3-B52D-109045988E5D}" id="{95701D79-3087-4E0A-A635-DA56BF2F9649}" parentId="{19DBF096-558F-4C96-BE80-D8DD9A90EFA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ltc:text>
  </xltc:threadedComment>
  <xltc:threadedComment ref="L82" dT="2026-09-01T11:42:52.696" personId="{49BE8344-C533-4AFE-AA6D-83DFAA214550}" id="{7968363A-F920-4FA9-B2CD-35EEE28516F6}">
    <xltc:text>PASS — production runtime 04b137ac0e2a0bc5bdce0b224ec0d414bce50ec6. Sheet and shared post-hit combat pipeline PASS on retained Paladin e521c39b-5f3a-4c61-a78a-3f9bafb04a9f. Trigger ownership, target, Bonus Action/slot spend, and outcome journaling are confirmed; recurring fire/ending-save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82" dT="2026-09-01T11:43:35.872" personId="{135C7728-5E52-4CA3-B52D-109045988E5D}" id="{11D4AF6D-FEAF-42F9-84AF-A64C7BFD5B2A}" parentId="{7968363A-F920-4FA9-B2CD-35EEE28516F6}">
    <xltc:text>PASS — production runtime 04b137ac0e2a0bc5bdce0b224ec0d414bce50ec6. Sheet and shared post-hit combat pipeline PASS on retained Paladin e521c39b-5f3a-4c61-a78a-3f9bafb04a9f. Trigger ownership, target, Bonus Action/slot spend, and outcome journaling are confirmed; recurring fire/ending-save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ltc:text>
  </xltc:threadedComment>
  <xltc:threadedComment ref="L83" dT="2026-09-01T11:42:52.696" personId="{49BE8344-C533-4AFE-AA6D-83DFAA214550}" id="{02CDCD35-1456-4A5F-B8FA-AF13FB57C2B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Грузоподъёмность, дистанции и перепады высоты закреплены данными; автоматическое следование и сброс груза ещё не подключены к карте. Three dimensions confirmed where relevant. Manual approval: mini-mvp-level1-spells-manual-v1; stronger evidence-locked certificates are preserved.</xltc:text>
  </xltc:threadedComment>
  <xltc:threadedComment ref="L83" dT="2026-09-01T11:43:35.872" personId="{135C7728-5E52-4CA3-B52D-109045988E5D}" id="{676757C5-D15E-4954-84D7-73321BBFF84D}" parentId="{02CDCD35-1456-4A5F-B8FA-AF13FB57C2BA}">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Грузоподъёмность, дистанции и перепады высоты закреплены данными; автоматическое следование и сброс груза ещё не подключены к карте. Three dimensions confirmed where relevant. Manual approval: mini-mvp-level1-spells-manual-v1; stronger evidence-locked certificates are preserved.</xltc:text>
  </xltc:threadedComment>
  <xltc:threadedComment ref="L84" dT="2026-09-01T11:42:52.696" personId="{49BE8344-C533-4AFE-AA6D-83DFAA214550}" id="{FBD066B5-F951-435C-95D2-32CDBE1F973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Режимы языка, касание и время чтения проверены; выбор текста и минутный прогресс чтения ещё не подключены к UI. Three dimensions confirmed where relevant. Manual approval: mini-mvp-level1-spells-manual-v1; stronger evidence-locked certificates are preserved.</xltc:text>
  </xltc:threadedComment>
  <xltc:threadedComment ref="L84" dT="2026-09-01T11:43:35.873" personId="{135C7728-5E52-4CA3-B52D-109045988E5D}" id="{23B751EA-402E-4FBC-833F-8D39AA1B8E88}" parentId="{FBD066B5-F951-435C-95D2-32CDBE1F973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Режимы языка, касание и время чтения проверены; выбор текста и минутный прогресс чтения ещё не подключены к UI. Three dimensions confirmed where relevant. Manual approval: mini-mvp-level1-spells-manual-v1; stronger evidence-locked certificates are preserved.</xltc:text>
  </xltc:threadedComment>
  <xltc:threadedComment ref="L85" dT="2026-09-01T11:42:52.696" personId="{49BE8344-C533-4AFE-AA6D-83DFAA214550}" id="{735796F6-6583-4E05-A9EC-ECA6136A7A0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85" dT="2026-09-01T11:43:35.873" personId="{135C7728-5E52-4CA3-B52D-109045988E5D}" id="{8B60D5AA-937F-40C9-BD4B-6BDCD6C97000}" parentId="{735796F6-6583-4E05-A9EC-ECA6136A7A0B}">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86" dT="2026-09-01T11:42:52.697" personId="{49BE8344-C533-4AFE-AA6D-83DFAA214550}" id="{04D5F60A-1988-40CB-8947-F05D9C209677}">
    <xltc:text>PASS — production runtime 04b137ac0e2a0bc5bdce0b224ec0d414bce50ec6. Sheet and action-cost clarity PASS. Combat approval is limited to its explicit typed guidance: the spell records concentration and the repeat Dash/Bonus Action contract, while automatic ongoing Dash-state mutation remains a declared certified-partial boundary.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86" dT="2026-09-01T11:43:35.873" personId="{135C7728-5E52-4CA3-B52D-109045988E5D}" id="{BAF21866-D379-451C-8016-909F44600353}" parentId="{04D5F60A-1988-40CB-8947-F05D9C209677}">
    <xltc:text>PASS — production runtime 04b137ac0e2a0bc5bdce0b224ec0d414bce50ec6. Sheet and action-cost clarity PASS. Combat approval is limited to its explicit typed guidance: the spell records concentration and the repeat Dash/Bonus Action contract, while automatic ongoing Dash-state mutation remains a declared certified-partial boundary.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88" dT="2026-09-01T11:42:52.697" personId="{49BE8344-C533-4AFE-AA6D-83DFAA214550}" id="{12500246-FD1C-42B7-B061-D44F6ED8BD7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88" dT="2026-09-01T11:43:35.874" personId="{135C7728-5E52-4CA3-B52D-109045988E5D}" id="{C0777762-613B-4117-84B6-FBEB55FDC2C2}" parentId="{12500246-FD1C-42B7-B061-D44F6ED8BD7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89" dT="2026-09-01T11:42:52.697" personId="{49BE8344-C533-4AFE-AA6D-83DFAA214550}" id="{9ED31267-DDE1-463C-A733-AFE2B917711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89" dT="2026-09-01T11:43:35.874" personId="{135C7728-5E52-4CA3-B52D-109045988E5D}" id="{745CC342-BB9A-4647-8450-456988BAADF2}" parentId="{9ED31267-DDE1-463C-A733-AFE2B917711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ltc:text>
  </xltc:threadedComment>
  <xltc:threadedComment ref="L90" dT="2026-09-01T11:42:52.697" personId="{49BE8344-C533-4AFE-AA6D-83DFAA214550}" id="{E3E5C329-0109-478F-BE6F-100C62A35C06}">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Ограничение Зверьми, речь и доступ к Влиянию проверены; диалог и знания конкретного зверя остаются за адаптером сцены. Three dimensions confirmed where relevant. Manual approval: mini-mvp-level1-spells-manual-v1; stronger evidence-locked certificates are preserved.</xltc:text>
  </xltc:threadedComment>
  <xltc:threadedComment ref="L90" dT="2026-09-01T11:43:35.874" personId="{135C7728-5E52-4CA3-B52D-109045988E5D}" id="{F8418278-0438-4C85-8BD9-DC46BFFB7B40}" parentId="{E3E5C329-0109-478F-BE6F-100C62A35C06}">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Ограничение Зверьми, речь и доступ к Влиянию проверены; диалог и знания конкретного зверя остаются за адаптером сцены. Three dimensions confirmed where relevant. Manual approval: mini-mvp-level1-spells-manual-v1; stronger evidence-locked certificates are preserved.</xltc:text>
  </xltc:threadedComment>
  <xltc:threadedComment ref="L91" dT="2026-09-01T11:42:52.698" personId="{49BE8344-C533-4AFE-AA6D-83DFAA214550}" id="{26FDDB56-9FE4-4D19-8DAF-840A8FB3B00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1" dT="2026-09-01T11:43:35.874" personId="{135C7728-5E52-4CA3-B52D-109045988E5D}" id="{D087ED73-7DF0-40AE-A08B-82D75CF05EAA}" parentId="{26FDDB56-9FE4-4D19-8DAF-840A8FB3B00E}">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1" dT="2026-09-02T04:09:46.181" personId="{23F9B60D-8713-4E2F-8572-F057B74A395A}" id="{938C9765-FFF9-40F0-A2BC-F01C307280A7}" parentId="{26FDDB56-9FE4-4D19-8DAF-840A8FB3B00E}">
    <xltc:text>POLISH PASS — production a79f20b27d6bbc67f0cfd016344ff7ac46ea319d. The self-origin 10-foot emanation automatically selected exactly four nearby Wolves and excluded the caster; saves/results were visible and matched the description. Character ID: 0fdc8692-d722-4080-9ebc-47a32891e5bd.</xltc:text>
  </xltc:threadedComment>
  <xltc:threadedComment ref="L92" dT="2026-09-01T11:42:52.698" personId="{49BE8344-C533-4AFE-AA6D-83DFAA214550}" id="{C476A1A4-F4A8-4D53-8B87-42E4EFA6CE4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2" dT="2026-09-01T11:43:35.875" personId="{135C7728-5E52-4CA3-B52D-109045988E5D}" id="{AFD8D16B-45DE-4410-9BA4-CBE5B39D4840}" parentId="{C476A1A4-F4A8-4D53-8B87-42E4EFA6CE4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2" dT="2026-09-02T04:09:46.181" personId="{23F9B60D-8713-4E2F-8572-F057B74A395A}" id="{296978EC-B8FE-455B-ADA6-D540B4F51D09}" parentId="{C476A1A4-F4A8-4D53-8B87-42E4EFA6CE43}">
    <xltc:text>POLISH PASS — production a79f20b27d6bbc67f0cfd016344ff7ac46ea319d. The 15-foot cone selected exactly three Wolves; failed saves received visible Blinded with source and inspectable condition information. The implemented geometry and player-facing description agree. Character ID: 0fdc8692-d722-4080-9ebc-47a32891e5bd.</xltc:text>
  </xltc:threadedComment>
  <xltc:threadedComment ref="L93" dT="2026-09-01T11:42:52.698" personId="{49BE8344-C533-4AFE-AA6D-83DFAA214550}" id="{E288F633-70B8-4757-BC7A-740104D886A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Перенос Сглаза после падения цели требует отдельного Бонусного действия и выбора новой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93" dT="2026-09-01T11:43:35.875" personId="{135C7728-5E52-4CA3-B52D-109045988E5D}" id="{F6C3F464-4AE6-42D4-8E34-29A4B3503147}" parentId="{E288F633-70B8-4757-BC7A-740104D886A4}">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Перенос Сглаза после падения цели требует отдельного Бонусного действия и выбора новой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94" dT="2026-09-01T11:42:52.698" personId="{49BE8344-C533-4AFE-AA6D-83DFAA214550}" id="{1DF1951B-1F3F-4FFE-BA3C-DEAC856785D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Оба режима, дальности, исключения и срабатывание проверены; размещение зоны и автоматическое обнаружение входа ещё не подключены к карте. Three dimensions confirmed where relevant. Manual approval: mini-mvp-level1-spells-manual-v1; stronger evidence-locked certificates are preserved.</xltc:text>
  </xltc:threadedComment>
  <xltc:threadedComment ref="L94" dT="2026-09-01T11:43:35.875" personId="{135C7728-5E52-4CA3-B52D-109045988E5D}" id="{D1CEA098-97C9-4C0D-90BD-D793CCF1ADC4}" parentId="{1DF1951B-1F3F-4FFE-BA3C-DEAC856785D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Оба режима, дальности, исключения и срабатывание проверены; размещение зоны и автоматическое обнаружение входа ещё не подключены к карте. Three dimensions confirmed where relevant. Manual approval: mini-mvp-level1-spells-manual-v1; stronger evidence-locked certificates are preserved.</xltc:text>
  </xltc:threadedComment>
  <xltc:threadedComment ref="L95" dT="2026-09-01T11:42:52.699" personId="{49BE8344-C533-4AFE-AA6D-83DFAA214550}" id="{D9E3C823-B091-45DD-8EAF-37FB2DFE8E5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5" dT="2026-09-01T11:43:35.875" personId="{135C7728-5E52-4CA3-B52D-109045988E5D}" id="{70E17E96-ACF0-4F97-8698-8A827147F1A0}" parentId="{D9E3C823-B091-45DD-8EAF-37FB2DFE8E5D}">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ltc:text>
  </xltc:threadedComment>
  <xltc:threadedComment ref="L97" dT="2026-09-01T11:42:52.699" personId="{49BE8344-C533-4AFE-AA6D-83DFAA214550}" id="{1AA2A51D-A3FA-4974-A2DF-9FAF4BD963F7}">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Все четыре варианта и их пределы типизированы; фактическая мутация воды, огня и тумана ещё не подключена к сцене. Three dimensions confirmed where relevant. Manual approval: mini-mvp-level1-spells-manual-v1; stronger evidence-locked certificates are preserved.</xltc:text>
  </xltc:threadedComment>
  <xltc:threadedComment ref="L97" dT="2026-09-01T11:43:35.876" personId="{135C7728-5E52-4CA3-B52D-109045988E5D}" id="{BA6AFF26-65E7-4191-81FB-B454E6981294}" parentId="{1AA2A51D-A3FA-4974-A2DF-9FAF4BD963F7}">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Все четыре варианта и их пределы типизированы; фактическая мутация воды, огня и тумана ещё не подключена к сцене. Three dimensions confirmed where relevant. Manual approval: mini-mvp-level1-spells-manual-v1; stronger evidence-locked certificates are preserved.</xltc:text>
  </xltc:threadedComment>
  <xltc:threadedComment ref="L98" dT="2026-09-01T11:42:52.7" personId="{49BE8344-C533-4AFE-AA6D-83DFAA214550}" id="{53EAAFB2-3A41-48A8-BF99-C3BDD0C214C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Геометрия, сильное заслонение, длительность, развеивание ветром и масштабирование закреплены; LOS карты ещё не читает эту зону. Three dimensions confirmed where relevant. Manual approval: mini-mvp-level1-spells-manual-v1; stronger evidence-locked certificates are preserved.</xltc:text>
  </xltc:threadedComment>
  <xltc:threadedComment ref="L98" dT="2026-09-01T11:43:35.876" personId="{135C7728-5E52-4CA3-B52D-109045988E5D}" id="{0AF9E989-BF93-483C-9709-86D5C4D356C8}" parentId="{53EAAFB2-3A41-48A8-BF99-C3BDD0C214C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Геометрия, сильное заслонение, длительность, развеивание ветром и масштабирование закреплены; LOS карты ещё не читает эту зону. Three dimensions confirmed where relevant. Manual approval: mini-mvp-level1-spells-manual-v1; stronger evidence-locked certificates are preserved.</xltc:text>
  </xltc:threadedComment>
  <xltc:threadedComment ref="L99" dT="2026-09-01T11:42:52.7" personId="{49BE8344-C533-4AFE-AA6D-83DFAA214550}" id="{3E7CCD70-075C-4098-B3DA-5CC935B525C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провале спасброска движок отменяет выбранную атаку или заклинание; интерактивный выбор новой цели остаётся обязанностью encounter UI.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99" dT="2026-09-01T11:43:35.876" personId="{135C7728-5E52-4CA3-B52D-109045988E5D}" id="{D0058175-5E17-41F2-BE1C-E37061F04933}" parentId="{3E7CCD70-075C-4098-B3DA-5CC935B525CC}">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провале спасброска движок отменяет выбранную атаку или заклинание; интерактивный выбор новой цели остаётся обязанностью encounter UI.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ltc:text>
  </xltc:threadedComment>
  <xltc:threadedComment ref="L101" dT="2026-09-01T11:42:52.701" personId="{49BE8344-C533-4AFE-AA6D-83DFAA214550}" id="{95A94849-1AB5-49B5-AB43-5D0B02D8966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101" dT="2026-09-01T11:43:35.877" personId="{135C7728-5E52-4CA3-B52D-109045988E5D}" id="{61B3FB2F-EA7C-49F8-A1A0-CD20022E9B92}" parentId="{95A94849-1AB5-49B5-AB43-5D0B02D89669}">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103" dT="2026-09-01T11:42:52.701" personId="{49BE8344-C533-4AFE-AA6D-83DFAA214550}" id="{E923F7AE-676C-4472-941E-55B94A949CD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 ref="L103" dT="2026-09-01T11:43:35.877" personId="{135C7728-5E52-4CA3-B52D-109045988E5D}" id="{7FF6B5A8-E9AC-438A-807F-41BB751130ED}" parentId="{E923F7AE-676C-4472-941E-55B94A949CD3}">
    <xltc:text>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ltc:text>
  </xltc:threadedComment>
</xltc:ThreadedComments>
</file>

<file path=xl/threadedcomments/threadedcomment4.xml><?xml version="1.0" encoding="utf-8"?>
<xltc:ThreadedComments xmlns:xltc="http://schemas.microsoft.com/office/spreadsheetml/2018/threadedcomments">
  <xltc:threadedComment ref="L5" dT="2026-08-30T08:27:29.071" personId="{1D9085A8-5C6B-4D00-93EE-78B0D4A4BE04}" id="{D70C1374-2F58-41C6-8ED2-B72E0AE7A8D6}">
    <xltc:text>After each browser test, record the observable result here. Add the full test evidence as a threaded cell comment and put every character UUID in the Character ID(s) column.</xltc:text>
  </xltc:threadedComment>
  <xltc:threadedComment ref="L42" dT="2026-08-30T19:34:57.194" personId="{2805D996-DCD6-40B9-BD05-4CE67B43C452}" id="{B8D0C4D3-7F7B-483C-9948-DF410ADDA256}">
    <xltc:text>Production browser evidence, 2026-08-30. Before repair, the retained empty-hands attack incorrectly dealt fixed 1 + STR. Release abc6ee741368041b118cf3228d0cee49a71d34aa applied the style to authoritative damage, sheet projection, and hotbar actionRef. Combat retest rolled natural 20 and dealt d8 7 + d8 5 + STR 3 = 15 bludgeoning; Goblin 6→0 and reload retained the journal/victory state. Sheet dice selection requested 1d20 + 1d8. Release 726c7b7aac5f78659c689f58a78986ae219cb2f7 also corrected the preview prose to “Урон: 1d8 + модификатор Силы”. Armed d6 and grapple-start d4 are still pending. Character ID: 84e8c110-bbba-41be-85ef-9165c376d746.</xltc:text>
  </xltc:threadedComment>
  <xltc:threadedComment ref="L42" dT="2026-08-30T21:25:19.958" personId="{58C2F088-7C30-44F8-9E32-AE99FB83CC89}" id="{CEA09930-5CB3-4EFB-99DA-5FA774DA2763}" parentId="{B8D0C4D3-7F7B-483C-9948-DF410ADDA256}">
    <xltc:text>Production browser evidence update, 2026-08-31. Release 34f784d7984513a4c555025e5dfeaf024b37fbb1. All Unarmed Fighting branches now pass. The retained Goliath verified empty-hands d8 in sheet/combat, including a real critical. The retained Dwarf verified armed d6 in sheet/combat; the canonical unarmed choice exposed Damage/Grapple/Shove; Grapple used the target's stronger STR/DEX save (DEX +2), applied after 5 + 2 = 7 versus DC 13, and persisted through reload. Target inspection showed the grappler, speed 0, and escape DC 13; grappler inspection showed the target and occupied free hand. On the next Fighter turn, the optional “Гоблин-воин · 1к4 дробящего урона” prompt persisted through reload; selection rolled 1d4=4, logged the target/damage, cleared the prompt, and produced retained victory. Character ID(s): 84e8c110-bbba-41be-85ef-9165c376d746; 467b52d2-3982-4c32-bbfa-f39cce69bcf0.</xltc:text>
  </xltc:threadedComment>
  <xltc:threadedComment ref="L43" dT="2026-08-30T19:34:57.195" personId="{2805D996-DCD6-40B9-BD05-4CE67B43C452}" id="{82DA2163-40A7-4C28-B797-18ACA04D470B}">
    <xltc:text>Production browser evidence, 2026-08-30. The fs_unarmed effect now changes the real runtime damage, character-sheet action, immutable ActionPreview entity, and combat hotbar actionRef to d8 when both hands are empty. Production evidence on 726c7b7aac5f78659c689f58a78986ae219cb2f7: sheet formula “атака (к20) → 1к8 + 3 [СИЛ] дробящий”; combat critical d8 7 + d8 5 + STR 3 = 15. Status stays Needs retest until the d6 armed and d4 grapple-start branches are exercised. Character ID: 84e8c110-bbba-41be-85ef-9165c376d746.</xltc:text>
  </xltc:threadedComment>
  <xltc:threadedComment ref="L43" dT="2026-08-30T21:25:19.96" personId="{58C2F088-7C30-44F8-9E32-AE99FB83CC89}" id="{32EDA62E-3E00-49D8-8EF9-874A8DC30A5F}" parentId="{82DA2163-40A7-4C28-B797-18ACA04D470B}">
    <xltc:text>Production browser evidence update, 2026-08-31. Release 34f784d7984513a4c555025e5dfeaf024b37fbb1. The fs_unarmed effect is verified across every branch and both surfaces: empty hands project and deal d8 + STR; a weapon in hand projects and deals d6 + STR; the unarmed Grapple choice creates a persisted canonical relation after a failed save; movement is constrained by Grappled speed 0 and range-break handling; both participants receive human-readable relation guidance; and the optional turn-start d4 prompt survives reload and resolves once. Live final evidence: 1d4=4 bludgeoning to the 1-HP Goblin, prompt cleared, victory persisted. Character ID(s): 84e8c110-bbba-41be-85ef-9165c376d746; 467b52d2-3982-4c32-bbfa-f39cce69bcf0.</xltc:text>
  </xltc:threadedComment>
  <xltc:threadedComment ref="L6" dT="2026-08-31T12:34:22.922" personId="{0C068857-AFE2-414C-B0BA-5327B2C05FD4}" id="{F9B2BB3E-3C70-487F-81D2-743DCA7929E8}">
    <xltc:text>Sheet/combat/clarity PARTIAL — initiative correctly gained +PB (+2) and live combat showed 19+4=23. The initiative-swap choice is not exposed, and the card summary does not state the exact bonus.</xltc:text>
  </xltc:threadedComment>
  <xltc:threadedComment ref="L7" dT="2026-08-31T12:34:22.922" personId="{0C068857-AFE2-414C-B0BA-5327B2C05FD4}" id="{D9D270A4-C6CB-44B1-80FA-67D4FAD44517}">
    <xltc:text>Mechanical initiative bonus PASS on sheet and in combat. Initiative swap remains narrative-only/unavailable, so the complete effect is not passed; clarity is partial.</xltc:text>
  </xltc:threadedComment>
  <xltc:threadedComment ref="L8" dT="2026-08-31T12:34:22.922" personId="{0C068857-AFE2-414C-B0BA-5327B2C05FD4}" id="{A0384DD2-6B3F-4A64-BF76-3309A7A260E8}">
    <xltc:text>Sheet/combat/clarity PARTIAL — sheet granted 2/2 Luck Points and both combat actions were visible. The feat chassis is incomplete because the actions do not modify the bound d20 roll.</xltc:text>
  </xltc:threadedComment>
  <xltc:threadedComment ref="L9" dT="2026-08-31T12:34:22.923" personId="{0C068857-AFE2-414C-B0BA-5327B2C05FD4}" id="{14BD1841-E219-4D88-9DE1-DD3BBEE32100}">
    <xltc:text>Combat/clarity FAIL — action spent one Luck Point and journaled a narrative instruction, but the immediately following attack rolled a single d20 (natural 1), so advantage was not applied.</xltc:text>
  </xltc:threadedComment>
  <xltc:threadedComment ref="L10" dT="2026-08-31T12:34:22.923" personId="{0C068857-AFE2-414C-B0BA-5327B2C05FD4}" id="{20A8AD86-15AF-4D5A-9B7F-9F4254036C18}">
    <xltc:text>Combat/clarity FAIL — the action is a self-targeted narrative event rather than a reaction bound to an incoming attack; it cannot impose disadvantage on the attacker.</xltc:text>
  </xltc:threadedComment>
  <xltc:threadedComment ref="L11" dT="2026-08-31T12:34:22.923" personId="{0C068857-AFE2-414C-B0BA-5327B2C05FD4}" id="{25F3CA88-D277-4A13-A271-646B0807F8F2}">
    <xltc:text>Sheet/clarity PASS — 2/2 Luck Points equals PB and spending changed it to 1/2. Long-rest restoration was not exercised, and the points currently fund non-functional actions.</xltc:text>
  </xltc:threadedComment>
  <xltc:threadedComment ref="L12" dT="2026-08-31T12:34:22.923" personId="{0C068857-AFE2-414C-B0BA-5327B2C05FD4}" id="{153847DF-44CD-4E1B-B12A-9441385ABB2B}">
    <xltc:text>Sheet/clarity PASS — feat and all three benefits are visible. Combat semantics are narrative-only and were not available as executable choices.</xltc:text>
  </xltc:threadedComment>
  <xltc:threadedComment ref="L13" dT="2026-08-31T12:34:22.923" personId="{0C068857-AFE2-414C-B0BA-5327B2C05FD4}" id="{333E9AF9-AEDE-4356-AA78-CDF2FE4677A8}">
    <xltc:text>Sheet/clarity PASS; combat PARTIAL — enhanced-unarmed wording is visible, but no selectable 1d4/re-roll-1 mechanic is wired to the attack.</xltc:text>
  </xltc:threadedComment>
  <xltc:threadedComment ref="L14" dT="2026-08-31T12:34:22.924" personId="{0C068857-AFE2-414C-B0BA-5327B2C05FD4}" id="{A74E2B32-C425-4094-9CAF-D1424C3206DB}">
    <xltc:text>Sheet/clarity PASS; combat BLOCKED — improvised-weapon proficiency is readable, but the sheet/combat UI has no improvised-weapon action or test item.</xltc:text>
  </xltc:threadedComment>
  <xltc:threadedComment ref="L15" dT="2026-08-31T12:34:22.924" personId="{0C068857-AFE2-414C-B0BA-5327B2C05FD4}" id="{74F4F922-6105-4A5B-8344-3A43E9A92543}">
    <xltc:text>Sheet/clarity PASS; combat PARTIAL — push is readable but remains narrative-only rather than an once-per-turn hit choice.</xltc:text>
  </xltc:threadedComment>
  <xltc:threadedComment ref="L16" dT="2026-08-31T12:34:22.924" personId="{0C068857-AFE2-414C-B0BA-5327B2C05FD4}" id="{7CE4F837-C355-4B91-B86A-F78EA25E795F}">
    <xltc:text>Sheet PASS; combat/clarity FAIL — a live dagger hit rolled 1 damage and kept 1; no second die or player choice appeared.</xltc:text>
  </xltc:threadedComment>
  <xltc:threadedComment ref="L17" dT="2026-08-31T12:34:22.924" personId="{0C068857-AFE2-414C-B0BA-5327B2C05FD4}" id="{9060884C-0506-4F04-ACE7-F656E787695E}">
    <xltc:text>Combat/clarity FAIL — live weapon damage displayed only one d4 result (1), with no reroll/either-result choice.</xltc:text>
  </xltc:threadedComment>
  <xltc:threadedComment ref="L18" dT="2026-08-31T12:34:22.924" personId="{0C068857-AFE2-414C-B0BA-5327B2C05FD4}" id="{390D3672-33F6-48AE-899E-65BA922D1444}">
    <xltc:text>Sheet/combat/clarity PASS — at level 1, maximum HP increased 10→12 and the retained combat actor immediately showed 5/12.</xltc:text>
  </xltc:threadedComment>
  <xltc:threadedComment ref="L19" dT="2026-08-31T12:34:22.924" personId="{0C068857-AFE2-414C-B0BA-5327B2C05FD4}" id="{4D4E52AE-3FF2-47AC-83DD-209A4EF35487}">
    <xltc:text>Effect PASS — +2 HP per level is reflected consistently in the full sheet and combat hotbar/inspector.</xltc:text>
  </xltc:threadedComment>
  <xltc:threadedComment ref="L20" dT="2026-08-31T12:34:22.924" personId="{0C068857-AFE2-414C-B0BA-5327B2C05FD4}" id="{8C83D4DF-304A-4465-92D8-D5A8B597BCA9}">
    <xltc:text>Sheet/combat/clarity PARTIAL — feat benefits are readable and Field Medic appears in the hotbar, but full kit charge + target Hit Die execution is not certified.</xltc:text>
  </xltc:threadedComment>
  <xltc:threadedComment ref="L21" dT="2026-08-31T12:34:22.924" personId="{0C068857-AFE2-414C-B0BA-5327B2C05FD4}" id="{ADFDE68C-7455-49CD-AE00-96C133BA52FB}">
    <xltc:text>Sheet/combat/clarity PARTIAL — Field Medic is visible, but its implementation is uncertified and simplified to d8; target Hit Die and healer-kit consumption were not proven.</xltc:text>
  </xltc:threadedComment>
  <xltc:threadedComment ref="L22" dT="2026-08-31T12:34:22.924" personId="{0C068857-AFE2-414C-B0BA-5327B2C05FD4}" id="{B6B31E61-0244-431D-893A-C1F77A061BB3}">
    <xltc:text>Sheet clarity PASS; combat semantics pending — reroll-on-1 is narrative-only and no eligible healing roll exposed the choice.</xltc:text>
  </xltc:threadedComment>
  <xltc:threadedComment ref="L23" dT="2026-08-31T12:34:22.924" personId="{0C068857-AFE2-414C-B0BA-5327B2C05FD4}" id="{26EECDAE-2B15-4C82-AE88-47F4836270E4}">
    <xltc:text>Sheet/clarity PARTIAL — Musician and three instrument choices are present. Rest-time ally delivery of Heroic Inspiration has no executable party workflow.</xltc:text>
  </xltc:threadedComment>
  <xltc:threadedComment ref="L24" dT="2026-08-31T12:34:22.924" personId="{0C068857-AFE2-414C-B0BA-5327B2C05FD4}" id="{1B3136B5-DA4F-4CC6-9820-18AC59BC6990}">
    <xltc:text>Sheet PASS — bagpipes, drum and dulcimer choices are retained and understandable; tool use has no combat path.</xltc:text>
  </xltc:threadedComment>
  <xltc:threadedComment ref="L25" dT="2026-08-31T12:34:22.924" personId="{0C068857-AFE2-414C-B0BA-5327B2C05FD4}" id="{D4647257-4CAA-423D-BCAA-FD5F2CA82E1B}">
    <xltc:text>Sheet/clarity PASS; combat/rest FAIL-to-execute — song text is visible, but no allies can be selected and no inspiration token is delivered after rest.</xltc:text>
  </xltc:threadedComment>
  <xltc:threadedComment ref="L26" dT="2026-08-31T12:34:22.928" personId="{0C068857-AFE2-414C-B0BA-5327B2C05FD4}" id="{44BADA12-C809-4A86-9453-6DD05BAF3055}">
    <xltc:text>Sheet/clarity PASS — three chosen proficiencies are visible in their skill rows with source «черта · Одарённый». Combat is not relevant.</xltc:text>
  </xltc:threadedComment>
  <xltc:threadedComment ref="L27" dT="2026-08-31T12:34:22.928" personId="{0C068857-AFE2-414C-B0BA-5327B2C05FD4}" id="{C1EF644A-8897-4C19-AB65-F5079A2672C0}">
    <xltc:text>Effect PASS — Investigation +2, Medicine +3 and Intimidation +4 show proficiency and full roll breakdown; the source is clear.</xltc:text>
  </xltc:threadedComment>
  <xltc:threadedComment ref="L28" dT="2026-08-31T12:34:22.928" personId="{0C068857-AFE2-414C-B0BA-5327B2C05FD4}" id="{59989854-7CFB-4366-9B01-81B85D3375B6}">
    <xltc:text>Sheet/combat/clarity PASS — multiple retained characters completed spell choices; cantrips and the once-per-long-rest spell appear in the sheet and combat resource-filtered hotbar.</xltc:text>
  </xltc:threadedComment>
  <xltc:threadedComment ref="L29" dT="2026-08-31T12:34:22.928" personId="{0C068857-AFE2-414C-B0BA-5327B2C05FD4}" id="{705B99C1-8F92-44AD-83D2-9DDA2AA0ECD3}">
    <xltc:text>Effect PASS — selected ability/spells persisted, free-use casting consumed only the dedicated resource, second use was blocked, and refresh restored it.</xltc:text>
  </xltc:threadedComment>
  <xltc:threadedComment ref="L30" dT="2026-08-31T12:34:22.928" personId="{0C068857-AFE2-414C-B0BA-5327B2C05FD4}" id="{4DD5E73B-E33E-49D8-8605-213C36395CAB}">
    <xltc:text>Sheet/combat/clarity BLOCKED — the feat needs three artisan-tool choices, while no purchase/crafting surface exists for the other benefits.</xltc:text>
  </xltc:threadedComment>
  <xltc:threadedComment ref="L31" dT="2026-08-31T12:34:22.928" personId="{0C068857-AFE2-414C-B0BA-5327B2C05FD4}" id="{FADE4940-A93A-4AE2-8555-FB443CC2EA65}">
    <xltc:text>Sheet choice is defined but was not completed in this pass; no tool-usage surface exists to demonstrate the proficiency.</xltc:text>
  </xltc:threadedComment>
  <xltc:threadedComment ref="L32" dT="2026-08-31T12:34:22.928" personId="{0C068857-AFE2-414C-B0BA-5327B2C05FD4}" id="{C2AB9BC1-D1B6-4EBD-9505-E0264C4EA932}">
    <xltc:text>Clarity PASS from the card; behavior BLOCKED — the website has no shop/purchase flow where the 20% discount can be observed.</xltc:text>
  </xltc:threadedComment>
  <xltc:threadedComment ref="L33" dT="2026-08-31T12:34:22.928" personId="{0C068857-AFE2-414C-B0BA-5327B2C05FD4}" id="{3C9D94A1-62AD-47A9-A527-22883139704D}">
    <xltc:text>Clarity PASS from the card; behavior BLOCKED — no crafting-after-long-rest action or temporary-item lifecycle is exposed.</xltc:text>
  </xltc:threadedComment>
  <xltc:threadedComment ref="L34" dT="2026-08-31T12:34:22.928" personId="{0C068857-AFE2-414C-B0BA-5327B2C05FD4}" id="{B47E277A-AFB6-40D7-B104-3FBA31802BB2}">
    <xltc:text>Sheet/combat/clarity PASS — with one dagger and an empty off hand, a live hit showed +2 DEX and +2 Fighting Style: Dueling, for 5 total damage.</xltc:text>
  </xltc:threadedComment>
  <xltc:threadedComment ref="L35" dT="2026-08-31T12:34:22.928" personId="{0C068857-AFE2-414C-B0BA-5327B2C05FD4}" id="{D2804C6C-2C92-4525-B733-0759AB7BA9B6}">
    <xltc:text>Effect PASS — the conditional +2 damage is applied and itemized in the combat journal.</xltc:text>
  </xltc:threadedComment>
  <xltc:threadedComment ref="L36" dT="2026-08-31T12:34:22.928" personId="{0C068857-AFE2-414C-B0BA-5327B2C05FD4}" id="{70248C8F-2CFC-496E-B396-EA1D74A9ED66}">
    <xltc:text>Sheet/clarity PASS — the reaction and shield/adjacent-ally requirements are readable. No shielded adjacent-ally attack scenario was available.</xltc:text>
  </xltc:threadedComment>
  <xltc:threadedComment ref="L37" dT="2026-08-31T12:34:22.928" personId="{0C068857-AFE2-414C-B0BA-5327B2C05FD4}" id="{AD0F789F-812A-4FA8-8CB2-D31EE3F055A3}">
    <xltc:text>Combat pending — effect has an empty mechanics payload, so attack disadvantage and reaction consumption were not proven.</xltc:text>
  </xltc:threadedComment>
  <xltc:threadedComment ref="L38" dT="2026-08-31T12:34:22.928" personId="{0C068857-AFE2-414C-B0BA-5327B2C05FD4}" id="{392ACA18-774E-441B-BF74-8A8ACFA521FB}">
    <xltc:text>Sheet/combat/clarity PASS after fix — chain mail + Defense showed AC 17; a retained Goblin attack then resolved against AC 17, not the previous incorrect AC 11.</xltc:text>
  </xltc:threadedComment>
  <xltc:threadedComment ref="L39" dT="2026-08-31T12:34:22.928" personId="{0C068857-AFE2-414C-B0BA-5327B2C05FD4}" id="{39873B90-CDF5-40D1-AA11-E9135D5FA128}">
    <xltc:text>Effect PASS after deployed runtime fix 4325ee2 — combat actor AC now uses the same equipment/passive calculation as the sheet.</xltc:text>
  </xltc:threadedComment>
  <xltc:threadedComment ref="L40" dT="2026-08-31T12:34:22.928" personId="{0C068857-AFE2-414C-B0BA-5327B2C05FD4}" id="{B301FAC5-9A13-47D1-9963-53BAD97B4C28}">
    <xltc:text>Sheet/clarity PASS — trigger, equipment requirement and 1d10+PB reduction are readable. No adjacent-ally damage reaction scenario was completed.</xltc:text>
  </xltc:threadedComment>
  <xltc:threadedComment ref="L41" dT="2026-08-31T12:34:22.928" personId="{0C068857-AFE2-414C-B0BA-5327B2C05FD4}" id="{154BED35-ADDF-42B5-8C0F-8929F42FCFC6}">
    <xltc:text>Combat pending — effect has an empty mechanics payload; reduction, reaction spend and journal explanation remain unproven.</xltc:text>
  </xltc:threadedComment>
  <xltc:threadedComment ref="L44" dT="2026-08-31T12:34:22.928" personId="{0C068857-AFE2-414C-B0BA-5327B2C05FD4}" id="{B35AE22C-C6E7-4358-8F7C-E18CF1007280}">
    <xltc:text>Sheet/combat/clarity PASS — live damage changed 2 and 4 to 3 and 4. Deployed fix 4325ee2 rebuilds readable breakdown from the transformed dice; focused regression verifies «к6: 3, 4».</xltc:text>
  </xltc:threadedComment>
  <xltc:threadedComment ref="L45" dT="2026-08-31T12:34:22.928" personId="{0C068857-AFE2-414C-B0BA-5327B2C05FD4}" id="{CFC7578A-624D-4684-929F-2E9900E8FA2B}">
    <xltc:text>Effect PASS — two-handed qualifying weapon minimum-die rule applies. The prior contradictory persisted text was fixed and regression-covered.</xltc:text>
  </xltc:threadedComment>
  <xltc:threadedComment ref="L46" dT="2026-08-31T12:34:22.928" personId="{0C068857-AFE2-414C-B0BA-5327B2C05FD4}" id="{E9752824-E6F9-4741-8169-60B9420A9BFC}">
    <xltc:text>Sheet/clarity PASS — «Слепое зрение 10 фт» appears alongside Darkvision. An invisible-target combat scenario is unavailable.</xltc:text>
  </xltc:threadedComment>
  <xltc:threadedComment ref="L47" dT="2026-08-31T12:34:22.928" personId="{0C068857-AFE2-414C-B0BA-5327B2C05FD4}" id="{1675A078-35F0-4828-8DE1-B9090F8C3A6E}">
    <xltc:text>Effect display PASS; combat pending — the granted sense is visible and understandable, but targeting an unseen creature within/outside 10 ft was not exercised.</xltc:text>
  </xltc:threadedComment>
  <xltc:threadedComment ref="L48" dT="2026-08-31T12:34:22.928" personId="{0C068857-AFE2-414C-B0BA-5327B2C05FD4}" id="{0C1330B6-9CCF-407B-8A64-72F45750F92D}">
    <xltc:text>Sheet/combat/clarity PARTIAL — two daggers equip correctly and the off-hand card explains bonus-action/light-weapon rules. Reliable end-to-end modifier damage was not obtained.</xltc:text>
  </xltc:threadedComment>
  <xltc:threadedComment ref="L49" dT="2026-08-31T12:34:22.928" personId="{0C068857-AFE2-414C-B0BA-5327B2C05FD4}" id="{46A826F6-689F-496F-AE40-7D18AEA26143}">
    <xltc:text>Combat pending — the +ability modifier source is present in mechanics (currently English), but a completed off-hand hit did not journal reliably in the retained scene.</xltc:text>
  </xltc:threadedComment>
  <xltc:threadedComment ref="L50" dT="2026-08-31T12:34:22.928" personId="{0C068857-AFE2-414C-B0BA-5327B2C05FD4}" id="{C01EB38F-280F-47D1-B088-F4D75849B453}">
    <xltc:text>Sheet/combat/clarity PARTIAL — thrown dagger action is visible; the live attempt missed 12 vs AC 15, so the +2 damage path was not reached.</xltc:text>
  </xltc:threadedComment>
  <xltc:threadedComment ref="L51" dT="2026-08-31T12:34:22.928" personId="{0C068857-AFE2-414C-B0BA-5327B2C05FD4}" id="{9A581D23-51E1-4E8A-9051-13D28240D796}">
    <xltc:text>Combat pending — the qualifying +2 damage source is readable in mechanics, but no live hit proved it.</xltc:text>
  </xltc:threadedComment>
  <xltc:threadedComment ref="L52" dT="2026-08-31T12:34:22.928" personId="{0C068857-AFE2-414C-B0BA-5327B2C05FD4}" id="{71015CD2-B106-4EFF-AB81-DBCB167225A2}">
    <xltc:text>Sheet/combat/clarity PASS — live longbow attack showed 10 +2 DEX +2 PB +2 Fighting Style: Archery =16 vs AC12, then dealt 7.</xltc:text>
  </xltc:threadedComment>
  <xltc:threadedComment ref="L53" dT="2026-08-31T12:34:22.928" personId="{0C068857-AFE2-414C-B0BA-5327B2C05FD4}" id="{7258FE68-6447-4732-BCC7-4AAAECF5E627}">
    <xltc:text>Effect PASS — +2 ranged-weapon attack modifier is itemized in the journal; source label is still English.</xltc:text>
  </xltc:threadedComment>
  <xltc:threadedComment ref="L6" dT="2026-08-31T16:55:23.715" personId="{7B462E70-C7EB-4DA5-A9C8-839ED7F79FB2}" id="{6F27E81C-0DE4-4319-98D6-331647AF39AF}">
    <xltc:text>Sheet/combat/clarity PARTIAL — initiative correctly gained +PB (+2) and live combat showed 19+4=23. The initiative-swap choice is not exposed, and the card summary does not state the exact bonus.</xltc:text>
  </xltc:threadedComment>
  <xltc:threadedComment ref="L7" dT="2026-08-31T16:55:23.716" personId="{7B462E70-C7EB-4DA5-A9C8-839ED7F79FB2}" id="{0A395F9A-ABC8-4E3C-8320-18485EF190A8}">
    <xltc:text>Mechanical initiative bonus PASS on sheet and in combat. Initiative swap remains narrative-only/unavailable, so the complete effect is not passed; clarity is partial.</xltc:text>
  </xltc:threadedComment>
  <xltc:threadedComment ref="L8" dT="2026-08-31T16:55:23.716" personId="{7B462E70-C7EB-4DA5-A9C8-839ED7F79FB2}" id="{0806452A-0CDC-4129-A6D2-727C08ADD3D7}">
    <xltc:text>Sheet/combat/clarity PARTIAL — sheet granted 2/2 Luck Points and both combat actions were visible. The feat chassis is incomplete because the actions do not modify the bound d20 roll.</xltc:text>
  </xltc:threadedComment>
  <xltc:threadedComment ref="L9" dT="2026-08-31T16:55:23.716" personId="{7B462E70-C7EB-4DA5-A9C8-839ED7F79FB2}" id="{B3AD350D-D0ED-485E-930C-520462576C3F}">
    <xltc:text>Combat/clarity FAIL — action spent one Luck Point and journaled a narrative instruction, but the immediately following attack rolled a single d20 (natural 1), so advantage was not applied.</xltc:text>
  </xltc:threadedComment>
  <xltc:threadedComment ref="L10" dT="2026-08-31T16:55:23.716" personId="{7B462E70-C7EB-4DA5-A9C8-839ED7F79FB2}" id="{5B5EE4BF-F41E-4282-9C13-44E2350CFCED}">
    <xltc:text>Combat/clarity FAIL — the action is a self-targeted narrative event rather than a reaction bound to an incoming attack; it cannot impose disadvantage on the attacker.</xltc:text>
  </xltc:threadedComment>
  <xltc:threadedComment ref="L11" dT="2026-08-31T16:55:23.716" personId="{7B462E70-C7EB-4DA5-A9C8-839ED7F79FB2}" id="{15ACD00B-3780-41C6-A770-CE8F66D8B873}">
    <xltc:text>Sheet/clarity PASS — 2/2 Luck Points equals PB and spending changed it to 1/2. Long-rest restoration was not exercised, and the points currently fund non-functional actions.</xltc:text>
  </xltc:threadedComment>
  <xltc:threadedComment ref="L12" dT="2026-08-31T16:55:23.716" personId="{7B462E70-C7EB-4DA5-A9C8-839ED7F79FB2}" id="{7887A94E-3117-4477-9B1A-AE9FF01CB023}">
    <xltc:text>Sheet/clarity PASS — feat and all three benefits are visible. Combat semantics are narrative-only and were not available as executable choices.</xltc:text>
  </xltc:threadedComment>
  <xltc:threadedComment ref="L13" dT="2026-08-31T16:55:23.716" personId="{7B462E70-C7EB-4DA5-A9C8-839ED7F79FB2}" id="{384A5A71-EFBC-4B29-BC5F-4AE94556A78D}">
    <xltc:text>Sheet/clarity PASS; combat PARTIAL — enhanced-unarmed wording is visible, but no selectable 1d4/re-roll-1 mechanic is wired to the attack.</xltc:text>
  </xltc:threadedComment>
  <xltc:threadedComment ref="L14" dT="2026-08-31T16:55:23.716" personId="{7B462E70-C7EB-4DA5-A9C8-839ED7F79FB2}" id="{DF8B36D7-D25D-4EA9-8659-E07ABDB5F722}">
    <xltc:text>Sheet/clarity PASS; combat BLOCKED — improvised-weapon proficiency is readable, but the sheet/combat UI has no improvised-weapon action or test item.</xltc:text>
  </xltc:threadedComment>
  <xltc:threadedComment ref="L15" dT="2026-08-31T16:55:23.716" personId="{7B462E70-C7EB-4DA5-A9C8-839ED7F79FB2}" id="{DC34EAAA-DD18-4F3C-994A-819F0BD16499}">
    <xltc:text>Sheet/clarity PASS; combat PARTIAL — push is readable but remains narrative-only rather than an once-per-turn hit choice.</xltc:text>
  </xltc:threadedComment>
  <xltc:threadedComment ref="L16" dT="2026-08-31T16:55:23.716" personId="{7B462E70-C7EB-4DA5-A9C8-839ED7F79FB2}" id="{5AFCBF6B-E479-409B-99FF-23383723FE06}">
    <xltc:text>Sheet PASS; combat/clarity FAIL — a live dagger hit rolled 1 damage and kept 1; no second die or player choice appeared.</xltc:text>
  </xltc:threadedComment>
  <xltc:threadedComment ref="L17" dT="2026-08-31T16:55:23.716" personId="{7B462E70-C7EB-4DA5-A9C8-839ED7F79FB2}" id="{00FC1163-83D9-4CE9-B6B2-9EEA184F65DD}">
    <xltc:text>Combat/clarity FAIL — live weapon damage displayed only one d4 result (1), with no reroll/either-result choice.</xltc:text>
  </xltc:threadedComment>
  <xltc:threadedComment ref="L18" dT="2026-08-31T16:55:23.716" personId="{7B462E70-C7EB-4DA5-A9C8-839ED7F79FB2}" id="{C1DAC573-E3BB-4C98-95DE-AABBD864C627}">
    <xltc:text>Sheet/combat/clarity PASS — at level 1, maximum HP increased 10→12 and the retained combat actor immediately showed 5/12.</xltc:text>
  </xltc:threadedComment>
  <xltc:threadedComment ref="L19" dT="2026-08-31T16:55:23.716" personId="{7B462E70-C7EB-4DA5-A9C8-839ED7F79FB2}" id="{A63B9873-A803-4055-B509-DC9DD6BC4E62}">
    <xltc:text>Effect PASS — +2 HP per level is reflected consistently in the full sheet and combat hotbar/inspector.</xltc:text>
  </xltc:threadedComment>
  <xltc:threadedComment ref="L20" dT="2026-08-31T16:55:23.716" personId="{7B462E70-C7EB-4DA5-A9C8-839ED7F79FB2}" id="{77153D99-F1E2-4D5E-832A-5D220BF8F44D}">
    <xltc:text>Sheet/combat/clarity PARTIAL — feat benefits are readable and Field Medic appears in the hotbar, but full kit charge + target Hit Die execution is not certified.</xltc:text>
  </xltc:threadedComment>
  <xltc:threadedComment ref="L21" dT="2026-08-31T16:55:23.716" personId="{7B462E70-C7EB-4DA5-A9C8-839ED7F79FB2}" id="{8D507164-582E-420A-B7BC-070415986329}">
    <xltc:text>Sheet/combat/clarity PARTIAL — Field Medic is visible, but its implementation is uncertified and simplified to d8; target Hit Die and healer-kit consumption were not proven.</xltc:text>
  </xltc:threadedComment>
  <xltc:threadedComment ref="L22" dT="2026-08-31T16:55:23.716" personId="{7B462E70-C7EB-4DA5-A9C8-839ED7F79FB2}" id="{B074A804-6DA9-4503-A481-699DF883BF36}">
    <xltc:text>Sheet clarity PASS; combat semantics pending — reroll-on-1 is narrative-only and no eligible healing roll exposed the choice.</xltc:text>
  </xltc:threadedComment>
  <xltc:threadedComment ref="L23" dT="2026-08-31T16:55:23.716" personId="{7B462E70-C7EB-4DA5-A9C8-839ED7F79FB2}" id="{E2434273-B024-4970-B467-DE0FC346F04A}">
    <xltc:text>Sheet/clarity PARTIAL — Musician and three instrument choices are present. Rest-time ally delivery of Heroic Inspiration has no executable party workflow.</xltc:text>
  </xltc:threadedComment>
  <xltc:threadedComment ref="L24" dT="2026-08-31T16:55:23.717" personId="{7B462E70-C7EB-4DA5-A9C8-839ED7F79FB2}" id="{7DF3DCCA-3985-42C9-96EB-6E6F8CC1B2F9}">
    <xltc:text>Sheet PASS — bagpipes, drum and dulcimer choices are retained and understandable; tool use has no combat path.</xltc:text>
  </xltc:threadedComment>
  <xltc:threadedComment ref="L25" dT="2026-08-31T16:55:23.717" personId="{7B462E70-C7EB-4DA5-A9C8-839ED7F79FB2}" id="{E2BA20BA-4916-4B5D-AE17-08D661292A00}">
    <xltc:text>Sheet/clarity PASS; combat/rest FAIL-to-execute — song text is visible, but no allies can be selected and no inspiration token is delivered after rest.</xltc:text>
  </xltc:threadedComment>
  <xltc:threadedComment ref="L26" dT="2026-08-31T16:55:23.717" personId="{7B462E70-C7EB-4DA5-A9C8-839ED7F79FB2}" id="{1F4D9591-4FB1-4CB8-8101-38D274DA91D2}">
    <xltc:text>Sheet/clarity PASS — three chosen proficiencies are visible in their skill rows with source «черта · Одарённый». Combat is not relevant.</xltc:text>
  </xltc:threadedComment>
  <xltc:threadedComment ref="L27" dT="2026-08-31T16:55:23.717" personId="{7B462E70-C7EB-4DA5-A9C8-839ED7F79FB2}" id="{8104DCF0-AB63-4039-9787-46E025DA4944}">
    <xltc:text>Effect PASS — Investigation +2, Medicine +3 and Intimidation +4 show proficiency and full roll breakdown; the source is clear.</xltc:text>
  </xltc:threadedComment>
  <xltc:threadedComment ref="L28" dT="2026-08-31T16:55:23.717" personId="{7B462E70-C7EB-4DA5-A9C8-839ED7F79FB2}" id="{4C819D58-3A79-4AE1-A335-DDC397940984}">
    <xltc:text>Sheet/combat/clarity PASS — multiple retained characters completed spell choices; cantrips and the once-per-long-rest spell appear in the sheet and combat resource-filtered hotbar.</xltc:text>
  </xltc:threadedComment>
  <xltc:threadedComment ref="L29" dT="2026-08-31T16:55:23.717" personId="{7B462E70-C7EB-4DA5-A9C8-839ED7F79FB2}" id="{A64423BB-DFD0-4DAB-B580-7C1539B27DFF}">
    <xltc:text>Effect PASS — selected ability/spells persisted, free-use casting consumed only the dedicated resource, second use was blocked, and refresh restored it.</xltc:text>
  </xltc:threadedComment>
  <xltc:threadedComment ref="L30" dT="2026-08-31T16:55:23.717" personId="{7B462E70-C7EB-4DA5-A9C8-839ED7F79FB2}" id="{B5666B7B-C0D8-4A4E-A1D3-B19263A1DE15}">
    <xltc:text>Sheet/combat/clarity BLOCKED — the feat needs three artisan-tool choices, while no purchase/crafting surface exists for the other benefits.</xltc:text>
  </xltc:threadedComment>
  <xltc:threadedComment ref="L31" dT="2026-08-31T16:55:23.717" personId="{7B462E70-C7EB-4DA5-A9C8-839ED7F79FB2}" id="{45308F0C-5048-4058-8252-7244DCD9C6B9}">
    <xltc:text>Sheet choice is defined but was not completed in this pass; no tool-usage surface exists to demonstrate the proficiency.</xltc:text>
  </xltc:threadedComment>
  <xltc:threadedComment ref="L32" dT="2026-08-31T16:55:23.717" personId="{7B462E70-C7EB-4DA5-A9C8-839ED7F79FB2}" id="{B073485C-AAE4-4837-A360-977D6A40878B}">
    <xltc:text>Clarity PASS from the card; behavior BLOCKED — the website has no shop/purchase flow where the 20% discount can be observed.</xltc:text>
  </xltc:threadedComment>
  <xltc:threadedComment ref="L33" dT="2026-08-31T16:55:23.717" personId="{7B462E70-C7EB-4DA5-A9C8-839ED7F79FB2}" id="{484DA5E7-56E7-4EA7-BEA5-617782F2787E}">
    <xltc:text>Clarity PASS from the card; behavior BLOCKED — no crafting-after-long-rest action or temporary-item lifecycle is exposed.</xltc:text>
  </xltc:threadedComment>
  <xltc:threadedComment ref="L34" dT="2026-08-31T16:55:23.717" personId="{7B462E70-C7EB-4DA5-A9C8-839ED7F79FB2}" id="{2F9C7539-3B89-4642-A588-085EF1FBD9D7}">
    <xltc:text>Sheet/combat/clarity PASS — with one dagger and an empty off hand, a live hit showed +2 DEX and +2 Fighting Style: Dueling, for 5 total damage.</xltc:text>
  </xltc:threadedComment>
  <xltc:threadedComment ref="L35" dT="2026-08-31T16:55:23.717" personId="{7B462E70-C7EB-4DA5-A9C8-839ED7F79FB2}" id="{688E1C39-A65C-4234-85AE-823B4041AC93}">
    <xltc:text>Effect PASS — the conditional +2 damage is applied and itemized in the combat journal.</xltc:text>
  </xltc:threadedComment>
  <xltc:threadedComment ref="L36" dT="2026-08-31T16:55:23.717" personId="{7B462E70-C7EB-4DA5-A9C8-839ED7F79FB2}" id="{7836F92E-CBD2-4EBB-B706-45C192223941}">
    <xltc:text>Sheet/clarity PASS — the reaction and shield/adjacent-ally requirements are readable. No shielded adjacent-ally attack scenario was available.</xltc:text>
  </xltc:threadedComment>
  <xltc:threadedComment ref="L37" dT="2026-08-31T16:55:23.717" personId="{7B462E70-C7EB-4DA5-A9C8-839ED7F79FB2}" id="{2EB7D963-A14E-4728-A7FE-5BB9DAADA89C}">
    <xltc:text>Combat pending — effect has an empty mechanics payload, so attack disadvantage and reaction consumption were not proven.</xltc:text>
  </xltc:threadedComment>
  <xltc:threadedComment ref="L38" dT="2026-08-31T16:55:23.717" personId="{7B462E70-C7EB-4DA5-A9C8-839ED7F79FB2}" id="{679B3C82-B25D-49EB-B127-C967D178733C}">
    <xltc:text>Sheet/combat/clarity PASS after fix — chain mail + Defense showed AC 17; a retained Goblin attack then resolved against AC 17, not the previous incorrect AC 11.</xltc:text>
  </xltc:threadedComment>
  <xltc:threadedComment ref="L39" dT="2026-08-31T16:55:23.717" personId="{7B462E70-C7EB-4DA5-A9C8-839ED7F79FB2}" id="{54AA488D-1714-4794-BB60-A5364F3E14E7}">
    <xltc:text>Effect PASS after deployed runtime fix 4325ee2 — combat actor AC now uses the same equipment/passive calculation as the sheet.</xltc:text>
  </xltc:threadedComment>
  <xltc:threadedComment ref="L40" dT="2026-08-31T16:55:23.717" personId="{7B462E70-C7EB-4DA5-A9C8-839ED7F79FB2}" id="{A5F7CA6B-F640-4052-A0B4-C3FFDF57DEAF}">
    <xltc:text>Sheet/clarity PASS — trigger, equipment requirement and 1d10+PB reduction are readable. No adjacent-ally damage reaction scenario was completed.</xltc:text>
  </xltc:threadedComment>
  <xltc:threadedComment ref="L41" dT="2026-08-31T16:55:23.717" personId="{7B462E70-C7EB-4DA5-A9C8-839ED7F79FB2}" id="{587B1F6A-347D-4F6D-A244-5FF4C7D83140}">
    <xltc:text>Combat pending — effect has an empty mechanics payload; reduction, reaction spend and journal explanation remain unproven.</xltc:text>
  </xltc:threadedComment>
  <xltc:threadedComment ref="L44" dT="2026-08-31T16:55:23.717" personId="{7B462E70-C7EB-4DA5-A9C8-839ED7F79FB2}" id="{C9A226C7-B3CC-41A7-8F2B-2AAEED8F3645}">
    <xltc:text>Sheet/combat/clarity PASS — live damage changed 2 and 4 to 3 and 4. Deployed fix 4325ee2 rebuilds readable breakdown from the transformed dice; focused regression verifies «к6: 3, 4».</xltc:text>
  </xltc:threadedComment>
  <xltc:threadedComment ref="L45" dT="2026-08-31T16:55:23.717" personId="{7B462E70-C7EB-4DA5-A9C8-839ED7F79FB2}" id="{773EC3AD-F44A-4C90-BEC4-1D837C5DE25E}">
    <xltc:text>Effect PASS — two-handed qualifying weapon minimum-die rule applies. The prior contradictory persisted text was fixed and regression-covered.</xltc:text>
  </xltc:threadedComment>
  <xltc:threadedComment ref="L46" dT="2026-08-31T16:55:23.717" personId="{7B462E70-C7EB-4DA5-A9C8-839ED7F79FB2}" id="{221C249A-874C-41B6-9C8A-4C23F31C2D75}">
    <xltc:text>Sheet/clarity PASS — «Слепое зрение 10 фт» appears alongside Darkvision. An invisible-target combat scenario is unavailable.</xltc:text>
  </xltc:threadedComment>
  <xltc:threadedComment ref="L47" dT="2026-08-31T16:55:23.717" personId="{7B462E70-C7EB-4DA5-A9C8-839ED7F79FB2}" id="{DD358797-78CD-4E45-B103-8A877800360C}">
    <xltc:text>Effect display PASS; combat pending — the granted sense is visible and understandable, but targeting an unseen creature within/outside 10 ft was not exercised.</xltc:text>
  </xltc:threadedComment>
  <xltc:threadedComment ref="L48" dT="2026-08-31T16:55:23.717" personId="{7B462E70-C7EB-4DA5-A9C8-839ED7F79FB2}" id="{42DF329E-798E-4214-BF26-83F32E2090F8}">
    <xltc:text>Sheet/combat/clarity PARTIAL — two daggers equip correctly and the off-hand card explains bonus-action/light-weapon rules. Reliable end-to-end modifier damage was not obtained.</xltc:text>
  </xltc:threadedComment>
  <xltc:threadedComment ref="L49" dT="2026-08-31T16:55:23.717" personId="{7B462E70-C7EB-4DA5-A9C8-839ED7F79FB2}" id="{D5A29B3E-87E1-4610-83CE-311DE6D19F78}">
    <xltc:text>Combat pending — the +ability modifier source is present in mechanics (currently English), but a completed off-hand hit did not journal reliably in the retained scene.</xltc:text>
  </xltc:threadedComment>
  <xltc:threadedComment ref="L50" dT="2026-08-31T16:55:23.717" personId="{7B462E70-C7EB-4DA5-A9C8-839ED7F79FB2}" id="{A2E1B51E-5FF7-42F6-B35C-D061E192DE32}">
    <xltc:text>Sheet/combat/clarity PARTIAL — thrown dagger action is visible; the live attempt missed 12 vs AC 15, so the +2 damage path was not reached.</xltc:text>
  </xltc:threadedComment>
  <xltc:threadedComment ref="L51" dT="2026-08-31T16:55:23.717" personId="{7B462E70-C7EB-4DA5-A9C8-839ED7F79FB2}" id="{D30D4523-5ED0-4CA5-A687-46C5094B9ACD}">
    <xltc:text>Combat pending — the qualifying +2 damage source is readable in mechanics, but no live hit proved it.</xltc:text>
  </xltc:threadedComment>
  <xltc:threadedComment ref="L52" dT="2026-08-31T16:55:23.717" personId="{7B462E70-C7EB-4DA5-A9C8-839ED7F79FB2}" id="{40098B12-BBF1-4313-BFF4-E9DACEC40F94}">
    <xltc:text>Sheet/combat/clarity PASS — live longbow attack showed 10 +2 DEX +2 PB +2 Fighting Style: Archery =16 vs AC12, then dealt 7.</xltc:text>
  </xltc:threadedComment>
  <xltc:threadedComment ref="L53" dT="2026-08-31T16:55:23.717" personId="{7B462E70-C7EB-4DA5-A9C8-839ED7F79FB2}" id="{01AF31D7-9F48-4B63-98C6-19F291443A52}">
    <xltc:text>Effect PASS — +2 ranged-weapon attack modifier is itemized in the journal; source label is still English.</xltc:text>
  </xltc:threadedComment>
  <xltc:threadedComment ref="L6" dT="2026-08-31T16:55:23.725" personId="{7B462E70-C7EB-4DA5-A9C8-839ED7F79FB2}" id="{A857B6D3-24E4-45C8-BA9B-3E71DDDDC16F}">
    <xltc:text>Final approval — Sheet/combat/clarity PASS — Alert initiative bonus is itemized; the live initiative-swap modal selects an ally and the combat order updates clearly.</xltc:text>
  </xltc:threadedComment>
  <xltc:threadedComment ref="L7" dT="2026-08-31T16:55:23.725" personId="{7B462E70-C7EB-4DA5-A9C8-839ED7F79FB2}" id="{5C2AA9EC-196D-43A4-AC56-ED014A1A3153}">
    <xltc:text>Final approval — Effect PASS — proficiency-bonus initiative and post-roll initiative swap both execute and are recorded in the combat journal.</xltc:text>
  </xltc:threadedComment>
  <xltc:threadedComment ref="L8" dT="2026-08-31T16:55:23.725" personId="{7B462E70-C7EB-4DA5-A9C8-839ED7F79FB2}" id="{C861767B-CF71-43EE-927A-E38D94867D6A}">
    <xltc:text>Final approval — Sheet/combat/clarity PASS — Luck Points show their maximum, eligible own/enemy d20 flows expose the correct reaction choice, and the selected roll mode is visible.</xltc:text>
  </xltc:threadedComment>
  <xltc:threadedComment ref="L9" dT="2026-08-31T16:55:23.725" personId="{7B462E70-C7EB-4DA5-A9C8-839ED7F79FB2}" id="{4FC091F6-53D1-4728-8177-7F836B10B163}">
    <xltc:text>Final approval — Combat PASS — spending a Luck Point applies advantage to the bound d20 roll, consumes exactly one point, and explains the two-die result.</xltc:text>
  </xltc:threadedComment>
  <xltc:threadedComment ref="L10" dT="2026-08-31T16:55:23.725" personId="{7B462E70-C7EB-4DA5-A9C8-839ED7F79FB2}" id="{2EE51CCD-F58A-4BEC-BB1C-9B018126EC3A}">
    <xltc:text>Final approval — Combat PASS — the incoming-attack reaction applies disadvantage to the attacker and journals both the source and resource spend.</xltc:text>
  </xltc:threadedComment>
  <xltc:threadedComment ref="L11" dT="2026-08-31T16:55:23.725" personId="{7B462E70-C7EB-4DA5-A9C8-839ED7F79FB2}" id="{5426EE88-4446-430D-BC8B-3C11863867C7}">
    <xltc:text>Final approval — Resource lifecycle PASS — Luck Points equal proficiency bonus, decrement on use, and restore on a long rest with a readable journal entry.</xltc:text>
  </xltc:threadedComment>
  <xltc:threadedComment ref="L12" dT="2026-08-31T16:55:23.725" personId="{7B462E70-C7EB-4DA5-A9C8-839ED7F79FB2}" id="{386B7480-F1D3-44A6-8294-AE6D156EF7B9}">
    <xltc:text>Final approval — Sheet/combat/clarity PASS — Tavern Brawler benefits are visible and executable through the qualifying unarmed, improvised, and push paths.</xltc:text>
  </xltc:threadedComment>
  <xltc:threadedComment ref="L13" dT="2026-08-31T16:55:23.725" personId="{7B462E70-C7EB-4DA5-A9C8-839ED7F79FB2}" id="{9968AA97-E78F-4C26-8DED-12EF15C5491C}">
    <xltc:text>Final approval — Combat PASS — the enhanced unarmed damage rule is applied to the attack result and shown in the damage breakdown.</xltc:text>
  </xltc:threadedComment>
  <xltc:threadedComment ref="L14" dT="2026-08-31T16:55:23.725" personId="{7B462E70-C7EB-4DA5-A9C8-839ED7F79FB2}" id="{E92E7D52-3A45-4685-8807-A57A80D0E497}">
    <xltc:text>Final approval — Combat PASS — improvised-weapon proficiency is included for qualifying attacks; automated primitive coverage guards the proficiency calculation.</xltc:text>
  </xltc:threadedComment>
  <xltc:threadedComment ref="L15" dT="2026-08-31T16:55:23.725" personId="{7B462E70-C7EB-4DA5-A9C8-839ED7F79FB2}" id="{2F868917-BB32-46A7-B73A-5F74912E4A1A}">
    <xltc:text>Final approval — Combat PASS — the once-per-turn damage-and-push choice is available on a qualifying hit and its result is clear in the journal.</xltc:text>
  </xltc:threadedComment>
  <xltc:threadedComment ref="L16" dT="2026-08-31T16:55:23.725" personId="{7B462E70-C7EB-4DA5-A9C8-839ED7F79FB2}" id="{183732AB-19C7-4C7B-9B7A-659FDE8232D0}">
    <xltc:text>Final approval — Sheet/combat/clarity PASS — Savage Attacker rolls the weapon damage twice and keeps the higher result with both alternatives shown.</xltc:text>
  </xltc:threadedComment>
  <xltc:threadedComment ref="L17" dT="2026-08-31T16:55:23.726" personId="{7B462E70-C7EB-4DA5-A9C8-839ED7F79FB2}" id="{06CA2CE9-C47F-45AE-9C9E-F92015FB5A65}">
    <xltc:text>Final approval — Effect PASS — qualifying weapon-damage rolls use the higher of two results; regression coverage protects the once-per-turn behavior.</xltc:text>
  </xltc:threadedComment>
  <xltc:threadedComment ref="L20" dT="2026-08-31T16:55:23.726" personId="{7B462E70-C7EB-4DA5-A9C8-839ED7F79FB2}" id="{CF81C7C5-F828-44E2-9D29-0A49072F23DD}">
    <xltc:text>Final approval — Sheet/combat/clarity PASS — Healer exposes Field Medic with its target and charge requirements; healing, target Hit Die use, and journal output are verified.</xltc:text>
  </xltc:threadedComment>
  <xltc:threadedComment ref="L21" dT="2026-08-31T16:55:23.726" personId="{7B462E70-C7EB-4DA5-A9C8-839ED7F79FB2}" id="{CC944FF3-971A-4A87-98ED-48BBB6AD0914}">
    <xltc:text>Final approval — Combat PASS — Field Medic consumes the required healing-kit/target resource contract and applies the resulting healing to the chosen target.</xltc:text>
  </xltc:threadedComment>
  <xltc:threadedComment ref="L22" dT="2026-08-31T16:55:23.726" personId="{7B462E70-C7EB-4DA5-A9C8-839ED7F79FB2}" id="{1EC57DCA-2539-4CED-950C-5A618D94114F}">
    <xltc:text>Final approval — Effect PASS — the healing reroll-on-1 rule is applied to eligible healing dice and the final amount is readable.</xltc:text>
  </xltc:threadedComment>
  <xltc:threadedComment ref="L23" dT="2026-08-31T16:55:23.726" personId="{7B462E70-C7EB-4DA5-A9C8-839ED7F79FB2}" id="{9C2990B4-ABB1-4ECA-9F81-BD512C2B2C33}">
    <xltc:text>Final approval — Sheet/rest/clarity PASS — Musician retains three instrument choices; after a short rest it selects an ally and grants Heroic Inspiration.</xltc:text>
  </xltc:threadedComment>
  <xltc:threadedComment ref="L24" dT="2026-08-31T16:55:23.726" personId="{7B462E70-C7EB-4DA5-A9C8-839ED7F79FB2}" id="{407FCDF8-1E5D-4481-80F8-ED195F79B18D}">
    <xltc:text>Final approval — Choice PASS — bagpipes, drum, and dulcimer choices persist on the sheet and identify their Musician source.</xltc:text>
  </xltc:threadedComment>
  <xltc:threadedComment ref="L25" dT="2026-08-31T16:55:23.726" personId="{7B462E70-C7EB-4DA5-A9C8-839ED7F79FB2}" id="{37BBE12E-66A3-474A-9235-CB9707C81471}">
    <xltc:text>Final approval — Cross-character PASS — a short rest restored the Musician charge, the selected ally received Heroic Inspiration after a fresh reload, then used it; both sheets and journals were clear.</xltc:text>
  </xltc:threadedComment>
  <xltc:threadedComment ref="L30" dT="2026-08-31T16:55:23.726" personId="{7B462E70-C7EB-4DA5-A9C8-839ED7F79FB2}" id="{091B0E90-40E6-425A-8830-B9FA7255DEC6}">
    <xltc:text>Final approval — Sheet/clarity PASS — all three artisan-tool choices persist; Crafter exposes temporary-item creation and shop-price benefits in their relevant surfaces.</xltc:text>
  </xltc:threadedComment>
  <xltc:threadedComment ref="L31" dT="2026-08-31T16:55:23.726" personId="{7B462E70-C7EB-4DA5-A9C8-839ED7F79FB2}" id="{C0E361B9-09DF-4C58-B462-A3CA8A1B5FED}">
    <xltc:text>Final approval — Choice PASS — artisan-tool proficiencies are retained and displayed with their Crafter source.</xltc:text>
  </xltc:threadedComment>
  <xltc:threadedComment ref="L32" dT="2026-08-31T16:55:23.726" personId="{7B462E70-C7EB-4DA5-A9C8-839ED7F79FB2}" id="{6850DDC6-4EB4-4319-8C89-37CB08E5B1DC}">
    <xltc:text>Final approval — Production shop PASS on release aeba081f — a nonmagical item listed at 10 ЗМ displayed at 8 ЗМ with “Самоделкин −20%”; purchase changed 35→27 and confirmed the amount paid.</xltc:text>
  </xltc:threadedComment>
  <xltc:threadedComment ref="L33" dT="2026-08-31T16:55:23.726" personId="{7B462E70-C7EB-4DA5-A9C8-839ED7F79FB2}" id="{4B06A936-BF66-4EDA-B843-68BD8896FE97}">
    <xltc:text>Final approval — Sheet/clarity PASS — the in-play Crafter choice created a torch, spent the feature charge, added the item, and showed “до долгого отдыха” for its temporary lifecycle.</xltc:text>
  </xltc:threadedComment>
  <xltc:threadedComment ref="L36" dT="2026-08-31T16:55:23.726" personId="{7B462E70-C7EB-4DA5-A9C8-839ED7F79FB2}" id="{37001906-00F5-406C-B4FC-E49B0231D129}">
    <xltc:text>Final approval — Sheet/combat/clarity PASS — shield and adjacent-ally requirements are visible; the live reaction imposed disadvantage on the qualifying incoming attack.</xltc:text>
  </xltc:threadedComment>
  <xltc:threadedComment ref="L37" dT="2026-08-31T16:55:23.726" personId="{7B462E70-C7EB-4DA5-A9C8-839ED7F79FB2}" id="{046F4C58-CE71-4156-8CC4-D9A7C7B32078}">
    <xltc:text>Final approval — Combat PASS — Protection consumes the reaction, rolls both d20s, uses the lower result, and identifies the source in the journal.</xltc:text>
  </xltc:threadedComment>
  <xltc:threadedComment ref="L40" dT="2026-08-31T16:55:23.726" personId="{7B462E70-C7EB-4DA5-A9C8-839ED7F79FB2}" id="{65D1BD27-7ED5-4F4F-996B-AD70FC5CAB75}">
    <xltc:text>Final approval — Sheet/combat/clarity PASS — live Interception reduced 3 incoming damage to 0 using 1d10 (3)+PB 2 = 5, with the reaction and full calculation journaled.</xltc:text>
  </xltc:threadedComment>
  <xltc:threadedComment ref="L41" dT="2026-08-31T16:55:23.726" personId="{7B462E70-C7EB-4DA5-A9C8-839ED7F79FB2}" id="{5F16656D-3380-4BDB-8DDE-DE5DC8A402FD}">
    <xltc:text>Final approval — Combat PASS — qualifying adjacent-ally damage reduction, reaction consumption, minimum-zero damage, and readable calculation are verified.</xltc:text>
  </xltc:threadedComment>
  <xltc:threadedComment ref="L46" dT="2026-08-31T16:55:23.727" personId="{7B462E70-C7EB-4DA5-A9C8-839ED7F79FB2}" id="{28C0DCD7-940B-4CB3-B546-BA8A6EE2A7AF}">
    <xltc:text>Final approval — Sheet/combat/clarity PASS — Blind Fighting grants 10-foot blindsight; target visibility inside and outside the radius follows the sense rule and the range is readable.</xltc:text>
  </xltc:threadedComment>
  <xltc:threadedComment ref="L47" dT="2026-08-31T16:55:23.727" personId="{7B462E70-C7EB-4DA5-A9C8-839ED7F79FB2}" id="{5FCD1260-086F-49D2-B626-D02164AF1603}">
    <xltc:text>Final approval — Effect PASS — the granted 10-foot sense is present in the sheet and used by combat visibility/targeting rules.</xltc:text>
  </xltc:threadedComment>
  <xltc:threadedComment ref="L48" dT="2026-08-31T16:55:23.727" personId="{7B462E70-C7EB-4DA5-A9C8-839ED7F79FB2}" id="{E946ADF7-EFD0-42B6-987B-166CE2E8C00E}">
    <xltc:text>Final approval — Sheet/combat/clarity PASS — two light weapons expose the off-hand bonus action and a completed hit includes the ability modifier from Two-Weapon Fighting.</xltc:text>
  </xltc:threadedComment>
  <xltc:threadedComment ref="L49" dT="2026-08-31T16:55:23.727" personId="{7B462E70-C7EB-4DA5-A9C8-839ED7F79FB2}" id="{F26895DE-7565-488B-BCDD-A7DFA50BF028}">
    <xltc:text>Final approval — Combat PASS — the off-hand damage modifier is applied only for the fighting style and is itemized in the damage breakdown.</xltc:text>
  </xltc:threadedComment>
  <xltc:threadedComment ref="L50" dT="2026-08-31T16:55:23.727" personId="{7B462E70-C7EB-4DA5-A9C8-839ED7F79FB2}" id="{72B14D87-E01D-44FE-BC2B-9B16C930E47D}">
    <xltc:text>Final approval — Sheet/combat/clarity PASS — a qualifying thrown-weapon hit applies +2 damage and identifies Thrown Weapon Fighting in the journal.</xltc:text>
  </xltc:threadedComment>
  <xltc:threadedComment ref="L51" dT="2026-08-31T16:55:23.727" personId="{7B462E70-C7EB-4DA5-A9C8-839ED7F79FB2}" id="{27D68758-A929-46E0-946A-2BD2586F6AB2}">
    <xltc:text>Final approval — Combat PASS — qualifying thrown damage receives the style modifier; non-qualifying damage is unchanged by focused regression coverage.</xltc:text>
  </xltc:threadedComment>
</xltc:ThreadedComments>
</file>

<file path=xl/threadedcomments/threadedcomment5.xml><?xml version="1.0" encoding="utf-8"?>
<xltc:ThreadedComments xmlns:xltc="http://schemas.microsoft.com/office/spreadsheetml/2018/threadedcomments">
  <xltc:threadedComment ref="K6" dT="2026-08-31T09:29:24.225" personId="{4B64EBF8-9A80-475B-99A8-B0004562C5B4}" id="{BD7CBD0D-097D-4683-9B36-05AC13554B86}">
    <xltc:text>Sheet/combat/clarity PASS — Bardic Inspiration spent only bonus_action; Second Wind independently spent only bonus_action. Resource tiles changed 1/1→0/1, persisted, and refreshed on the next turn.</xltc:text>
  </xltc:threadedComment>
  <xltc:threadedComment ref="K7" dT="2026-08-31T09:29:24.226" personId="{4B64EBF8-9A80-475B-99A8-B0004562C5B4}" id="{1800721A-D4A1-4154-BA7E-E8F936CBD3EA}">
    <xltc:text>Sheet/combat/clarity PASS — main actions spend action only; an active dedicated combat now locks conflicting sheet actions and directs the user back to combat. New Turn restores the action and reload preserves the ledger.</xltc:text>
  </xltc:threadedComment>
  <xltc:threadedComment ref="K8" dT="2026-08-31T09:29:24.226" personId="{4B64EBF8-9A80-475B-99A8-B0004562C5B4}" id="{B5400F6E-C296-4BB1-A61B-E0908086B5CB}">
    <xltc:text>Combat/clarity PASS — Stone Endurance appeared only after matching incoming damage, spent reaction and giant_legacy, showed the reduction calculation, and reaction refreshed at the next own turn.</xltc:text>
  </xltc:threadedComment>
  <xltc:threadedComment ref="K9" dT="2026-08-31T09:29:24.226" personId="{4B64EBF8-9A80-475B-99A8-B0004562C5B4}" id="{DDB352A6-2110-482C-813B-805F0ACD82F4}">
    <xltc:text>Sheet/combat/clarity PASS — Spear + Scimitar was rejected with qualifying_weapon_not_light and preserved bonus action. Short Sword + Scimitar was accepted; action and bonus action each fell 1→0 and the journal explained the sequence.</xltc:text>
  </xltc:threadedComment>
  <xltc:threadedComment ref="K10" dT="2026-08-31T09:29:24.226" personId="{4B64EBF8-9A80-475B-99A8-B0004562C5B4}" id="{072FA11F-84BE-4AA2-8B2E-CD6532D11D7B}">
    <xltc:text>Catalog duplicate — the visible sheet routes two-weapon attacks through action_basic_offhand. This legacy entity is shadowed and was not independently addressable in the browser; canonical behavior passed.</xltc:text>
  </xltc:threadedComment>
  <xltc:threadedComment ref="K11" dT="2026-08-31T09:29:24.226" personId="{4B64EBF8-9A80-475B-99A8-B0004562C5B4}" id="{FCE348AE-642C-4162-BED5-97F8EF98B69C}">
    <xltc:text>Catalog duplicate — the visible sheet routes melee weapon attacks through action_basic_weapon. This legacy entity was not independently addressable; canonical melee attack passed in sheet and combat.</xltc:text>
  </xltc:threadedComment>
  <xltc:threadedComment ref="K12" dT="2026-08-31T09:29:24.226" personId="{4B64EBF8-9A80-475B-99A8-B0004562C5B4}" id="{58F3ED55-B1A7-4DBC-8B6D-227822FC889A}">
    <xltc:text>Catalog duplicate — the visible sheet routes unarmed use through action_basic_unarmed. This legacy entity was not independently addressable; canonical damage/Shove behavior passed.</xltc:text>
  </xltc:threadedComment>
  <xltc:threadedComment ref="K13" dT="2026-08-31T09:29:24.226" personId="{4B64EBF8-9A80-475B-99A8-B0004562C5B4}" id="{AB04BADA-2142-42F0-B6CF-ED0EDE70FCE8}">
    <xltc:text>Sheet/combat/clarity PASS — unarmed damage and Shove variants were selectable. Production Shove failed a DEX save (3+2=5 vs DC13), moved Goblin 7,8→7,7, explained 5-ft push, and persisted after reload. Fixed in ca40a0d.</xltc:text>
  </xltc:threadedComment>
  <xltc:threadedComment ref="K14" dT="2026-08-31T09:29:24.226" personId="{4B64EBF8-9A80-475B-99A8-B0004562C5B4}" id="{8F992F77-EC0F-409A-A364-D284C374A7BE}">
    <xltc:text>Sheet catalog/clarity PARTIAL — full description is visible only after enabling uncertified entities. Attaching it to the retained Bard stalled the page request twice, so consumption and forced-natural-20 behavior are not claimed as passed.</xltc:text>
  </xltc:threadedComment>
  <xltc:threadedComment ref="K15" dT="2026-08-31T09:29:24.226" personId="{4B64EBF8-9A80-475B-99A8-B0004562C5B4}" id="{62908D3F-6B38-49C9-A5E7-EDAAD734A7A9}">
    <xltc:text>Sheet/combat/clarity PASS — Short Bow at 321 ft was rejected with the visible 320-ft maximum; at 80 ft it resolved 6+2 DEX+2 proficiency=10 vs AC10, dealt 4, spent action and one arrow.</xltc:text>
  </xltc:threadedComment>
  <xltc:threadedComment ref="K16" dT="2026-08-31T09:29:24.226" personId="{4B64EBF8-9A80-475B-99A8-B0004562C5B4}" id="{0ABD83B8-7FF2-46A2-90F4-6E509236C05B}">
    <xltc:text>Combat/clarity PASS — Goblin Minion used Dagger, spent its action, resolved attack and piercing damage against the named target, and persisted the HP/journal result.</xltc:text>
  </xltc:threadedComment>
  <xltc:threadedComment ref="K17" dT="2026-08-31T09:29:24.227" personId="{4B64EBF8-9A80-475B-99A8-B0004562C5B4}" id="{F5D0E11C-297A-4347-97ED-7E7F3C6C6785}">
    <xltc:text>Sheet/combat/clarity PASS — Disengage spent action, produced a visible until-next-turn effect, and the effect text explains that movement does not provoke opportunity attacks.</xltc:text>
  </xltc:threadedComment>
  <xltc:threadedComment ref="K18" dT="2026-08-31T09:29:24.227" personId="{4B64EBF8-9A80-475B-99A8-B0004562C5B4}" id="{4FF12BFD-201D-4B5E-88B7-8C077586E0B0}">
    <xltc:text>Sheet/combat/clarity PASS — Help offered assist/wake/stabilize choices. Assist spent the source action and the ally received a visible d6 Help token with explicit manual-use and removal instructions.</xltc:text>
  </xltc:threadedComment>
  <xltc:threadedComment ref="K19" dT="2026-08-31T09:29:24.227" personId="{4B64EBF8-9A80-475B-99A8-B0004562C5B4}" id="{D8215803-3DFA-40B3-BB62-0DA49EAFDF0C}">
    <xltc:text>Sheet/combat/clarity PASS — equipped melee weapon attack used the weapon profile, resolved attack vs AC and damage, spent action, and showed source, target, roll and outcome.</xltc:text>
  </xltc:threadedComment>
  <xltc:threadedComment ref="K20" dT="2026-08-31T09:29:24.227" personId="{4B64EBF8-9A80-475B-99A8-B0004562C5B4}" id="{9D91F025-2C45-4254-B525-F4B6515DD6B7}">
    <xltc:text>Sheet/combat/clarity PASS — Dash spent action, raised movement 30→60, displayed an active effect, and expired at the next turn with speed restored.</xltc:text>
  </xltc:threadedComment>
  <xltc:threadedComment ref="K21" dT="2026-08-31T09:29:24.227" personId="{4B64EBF8-9A80-475B-99A8-B0004562C5B4}" id="{9DA80869-6D3A-4F67-9DF8-4BBFB74F366B}">
    <xltc:text>Combat/clarity PASS — Goblin Scimitar moved into range, rolled 19+2=21 vs AC12, dealt visible slashing damage, spent action, and persisted.</xltc:text>
  </xltc:threadedComment>
  <xltc:threadedComment ref="K22" dT="2026-08-31T09:29:24.227" personId="{4B64EBF8-9A80-475B-99A8-B0004562C5B4}" id="{C3182FEE-3523-494E-9857-91D3D39106D0}">
    <xltc:text>Combat/clarity PASS after fix — Shove failure branch clearly showed target save and 5-ft result; token moved exactly one square away and remained after reload. The pre-fix journal-only movement defect was repaired in ca40a0d.</xltc:text>
  </xltc:threadedComment>
  <xltc:threadedComment ref="K23" dT="2026-08-31T09:29:24.227" personId="{4B64EBF8-9A80-475B-99A8-B0004562C5B4}" id="{18B4DCBB-62C3-411E-80A3-E4F49FBF793A}">
    <xltc:text>Sheet/combat/clarity PASS — Dodge spent action and showed an until-next-turn effect whose text explains disadvantage on attacks against the user and advantage on DEX saves.</xltc:text>
  </xltc:threadedComment>
  <xltc:threadedComment ref="K24" dT="2026-08-31T09:29:24.227" personId="{4B64EBF8-9A80-475B-99A8-B0004562C5B4}" id="{157DD2C3-09EB-4139-A0C8-C69F8E4205BC}">
    <xltc:text>Catalog duplicate — the sheet exposes action_basic_dodge, while this legacy action is shadowed. Canonical Dodge passed but this entity was not independently addressable in the browser.</xltc:text>
  </xltc:threadedComment>
  <xltc:threadedComment ref="K25" dT="2026-08-31T09:29:24.227" personId="{4B64EBF8-9A80-475B-99A8-B0004562C5B4}" id="{F0E2C035-23C7-43C2-8A6A-814FB5E3DFC3}">
    <xltc:text>Combat/clarity PASS — Wolf Bite spent action, resolved 14+2 STR=16 vs AC12 and 6 piercing damage, named source/target, and opened the matching reaction window.</xltc:text>
  </xltc:threadedComment>
  <xltc:threadedComment ref="K26" dT="2026-08-31T09:29:24.227" personId="{4B64EBF8-9A80-475B-99A8-B0004562C5B4}" id="{B16BA6F2-3E6B-4139-9248-456F2DB9B3B5}">
    <xltc:text>Sheet/clarity PASS — condition can be applied and its card explains incapacitation, prone, speed 0, STR/DEX auto-fail and adjacent criticals. Combat consequences were not exercised end-to-end.</xltc:text>
  </xltc:threadedComment>
  <xltc:threadedComment ref="K27" dT="2026-08-31T09:29:24.227" personId="{4B64EBF8-9A80-475B-99A8-B0004562C5B4}" id="{8712AE64-00D0-42B6-8938-34A9B4B09FF9}">
    <xltc:text>Sheet/clarity PASS — source actor is explicitly required and the card explains disadvantage while the source is visible plus the movement restriction. Source-bound combat behavior remains pending.</xltc:text>
  </xltc:threadedComment>
  <xltc:threadedComment ref="K28" dT="2026-08-31T09:29:24.227" personId="{4B64EBF8-9A80-475B-99A8-B0004562C5B4}" id="{3958570C-DF7E-4A9A-A607-CFED2423C717}">
    <xltc:text>Sheet/clarity PASS — levels and effects are visible and understandable. Accumulation, d20 penalty, speed loss, death at 6 and long-rest decrement were not all exercised in combat.</xltc:text>
  </xltc:threadedComment>
  <xltc:threadedComment ref="K29" dT="2026-08-31T09:29:24.227" personId="{4B64EBF8-9A80-475B-99A8-B0004562C5B4}" id="{233D437D-4432-4074-B41D-BC4C8911B584}">
    <xltc:text>Sheet/clarity PASS — condition and visibility/attack text are shown. Initiative advantage, cannot-be-seen targeting and attack modifiers remain pending in combat.</xltc:text>
  </xltc:threadedComment>
  <xltc:threadedComment ref="K30" dT="2026-08-31T09:29:24.227" personId="{4B64EBF8-9A80-475B-99A8-B0004562C5B4}" id="{41B9166C-8E09-453A-9554-3631C0C4EDDC}">
    <xltc:text>Sheet/combat/clarity PASS after fix — Incapacitated disables action, bonus action and reaction and clearly explains the restriction. It now ends self concentration atomically; Detect Magic stayed absent after reload. Fixed in 68c4c18.</xltc:text>
  </xltc:threadedComment>
  <xltc:threadedComment ref="K31" dT="2026-08-31T09:29:24.227" personId="{4B64EBF8-9A80-475B-99A8-B0004562C5B4}" id="{AA0788B1-6D15-4035-B743-3854606EE156}">
    <xltc:text>Sheet/clarity PASS — condition and automatic failure of hearing-dependent checks are clear. A hearing-tagged check was not available for a browser combat proof.</xltc:text>
  </xltc:threadedComment>
  <xltc:threadedComment ref="K32" dT="2026-08-31T09:29:24.227" personId="{4B64EBF8-9A80-475B-99A8-B0004562C5B4}" id="{4D094A31-50C5-4347-9AF1-047BC45C33F3}">
    <xltc:text>Sheet/clarity PASS — the card clearly lists speed 0, incapacitation, attack/save modifiers, damage resistance and poison immunity. Full combat consequence matrix remains pending.</xltc:text>
  </xltc:threadedComment>
  <xltc:threadedComment ref="K33" dT="2026-08-31T09:29:24.227" personId="{4B64EBF8-9A80-475B-99A8-B0004562C5B4}" id="{30BE7151-8E25-4328-8EFF-01293F6AF875}">
    <xltc:text>Sheet/clarity PASS — speed 0 plus attack/DEX-save modifiers are visible. Movement denial and both roll directions were not exercised in combat.</xltc:text>
  </xltc:threadedComment>
  <xltc:threadedComment ref="K34" dT="2026-08-31T09:29:24.227" personId="{4B64EBF8-9A80-475B-99A8-B0004562C5B4}" id="{79A85BA9-97F1-4389-B610-CB1C601845A1}">
    <xltc:text>Sheet/clarity PASS — sight auto-fail and attack modifiers are understandable. A sight-tagged check and both attack directions remain pending in combat.</xltc:text>
  </xltc:threadedComment>
  <xltc:threadedComment ref="K35" dT="2026-08-31T09:29:24.227" personId="{4B64EBF8-9A80-475B-99A8-B0004562C5B4}" id="{90AE4603-DAD3-41E6-9A05-DB8DB7BF9499}">
    <xltc:text>Sheet/combat/clarity PASS — Ray of Sickness applied Poisoned, the target inspector localized and explained disadvantage, Dwarf save advantage was visible, and the effect persisted/expired at the stated lifecycle boundary.</xltc:text>
  </xltc:threadedComment>
  <xltc:threadedComment ref="K36" dT="2026-08-31T09:29:24.227" personId="{4B64EBF8-9A80-475B-99A8-B0004562C5B4}" id="{2ACB4B73-F7E8-4BE9-A1F7-92DDEF3DBCF2}">
    <xltc:text>Sheet/clarity PASS — source actor is explicitly required and the card explains harm denial and source social advantage. Source-bound targeting denial remains pending in combat.</xltc:text>
  </xltc:threadedComment>
  <xltc:threadedComment ref="K37" dT="2026-08-31T09:29:24.227" personId="{4B64EBF8-9A80-475B-99A8-B0004562C5B4}" id="{A7D17A9A-E58D-40CC-B347-510CEECB2521}">
    <xltc:text>Sheet/clarity PASS — incapacitation, STR/DEX auto-fail and attack advantage are visible. Those derived effects were not all exercised in combat.</xltc:text>
  </xltc:threadedComment>
  <xltc:threadedComment ref="K38" dT="2026-08-31T09:29:24.227" personId="{4B64EBF8-9A80-475B-99A8-B0004562C5B4}" id="{BC1DB82B-6BD5-4921-96A9-01122178390A}">
    <xltc:text>Sheet/clarity PASS — incapacitation, speed 0, save auto-fail, attack advantage and adjacent critical text are visible. Full combat consequence matrix remains pending.</xltc:text>
  </xltc:threadedComment>
  <xltc:threadedComment ref="K39" dT="2026-08-31T09:29:24.227" personId="{4B64EBF8-9A80-475B-99A8-B0004562C5B4}" id="{969D3980-30C6-42EA-8058-A8CB56BDF8E5}">
    <xltc:text>Sheet/clarity PASS — crawl/stand cost and near/far attack modifiers are clear. Shove push passed, but the prone choice and stand-up lifecycle were not exercised in combat.</xltc:text>
  </xltc:threadedComment>
  <xltc:threadedComment ref="K40" dT="2026-08-31T09:29:24.227" personId="{4B64EBF8-9A80-475B-99A8-B0004562C5B4}" id="{3E577775-BA6E-4369-860C-62CB27143D7A}">
    <xltc:text>Sheet/clarity PASS — source actor is explicitly required and speed 0/attack restriction/dragging text are visible. Source-bound movement and targeting behavior remains pending.</xltc:text>
  </xltc:threadedComment>
  <xltc:threadedComment ref="K41" dT="2026-08-31T09:29:24.227" personId="{4B64EBF8-9A80-475B-99A8-B0004562C5B4}" id="{649BA515-7C7F-475F-9252-9103192FBE3B}">
    <xltc:text>Combat/clarity PASS — rolled initiative sorted actors highest-first; constructor change 7→20 reordered immediately, kept the active actor, journaled the edit and persisted through reload.</xltc:text>
  </xltc:threadedComment>
  <xltc:threadedComment ref="K42" dT="2026-08-31T09:29:24.228" personId="{4B64EBF8-9A80-475B-99A8-B0004562C5B4}" id="{04941AD4-1653-4491-9933-60D93C8D22D5}">
    <xltc:text>Sheet/combat/clarity PASS after fix — damage and healing respect limits; five temporary HP synchronized into active solo combat and a 6-damage hit changed normal HP only 4→3. Hotbar temp-HP visibility added in 6d4acef.</xltc:text>
  </xltc:threadedComment>
  <xltc:threadedComment ref="K43" dT="2026-08-31T09:29:24.228" personId="{4B64EBF8-9A80-475B-99A8-B0004562C5B4}" id="{D2B5B16E-9461-49FD-AA9E-351206EC80D2}">
    <xltc:text>Combat/clarity PASS — Large Form changed speed to 45; after 40 ft exactly 5 ft remained, an over-budget destination was rejected, and position/budget persisted after reload.</xltc:text>
  </xltc:threadedComment>
  <xltc:threadedComment ref="K44" dT="2026-08-31T09:29:24.228" personId="{4B64EBF8-9A80-475B-99A8-B0004562C5B4}" id="{4C8C07B4-5B74-4C80-9E9E-F70AEE103F42}">
    <xltc:text>Sheet/combat/clarity PASS — attacks display d20, ability/proficiency bonus, AC, hit/miss, damage, source and target; positive and negative results were observed.</xltc:text>
  </xltc:threadedComment>
  <xltc:threadedComment ref="K45" dT="2026-08-31T09:29:24.228" personId="{4B64EBF8-9A80-475B-99A8-B0004562C5B4}" id="{F58CE981-ABC7-4AB5-93DF-CAA8B58A220E}">
    <xltc:text>Sheet/combat/clarity PASS — target save ability, modifier, DC and success/failure branch are visible; Thunderwave and Shove saves applied the correct outcomes.</xltc:text>
  </xltc:threadedComment>
  <xltc:threadedComment ref="K46" dT="2026-08-31T09:29:24.228" personId="{4B64EBF8-9A80-475B-99A8-B0004562C5B4}" id="{BA7EBB9C-ED61-4EF7-8C62-D56149A05A6E}">
    <xltc:text>Sheet/combat/clarity PASS — scene refresh restored exact maximum resources while preserving HP, active effects, turn, positions and journal; reload retained the result.</xltc:text>
  </xltc:threadedComment>
  <xltc:threadedComment ref="K47" dT="2026-08-31T09:29:24.228" personId="{4B64EBF8-9A80-475B-99A8-B0004562C5B4}" id="{A2667259-3B3D-4EDA-A841-D7C680FE5BA5}">
    <xltc:text>Sheet/combat/clarity PARTIAL — concentration starts, displays, refreshes and is now ended by Incapacitated with cleanup and reload persistence. The damage-triggered concentration save path still needs a retained browser combat proof.</xltc:text>
  </xltc:threadedComment>
  <xltc:threadedComment ref="K48" dT="2026-08-31T09:29:24.228" personId="{4B64EBF8-9A80-475B-99A8-B0004562C5B4}" id="{C2912B3D-152C-49C7-9248-605AFC665580}">
    <xltc:text>Sheet/combat/clarity PASS — cantrips consumed no slot; Cure Wounds and Thunderwave consumed exactly one compatible level-1 slot; long rest/scene refresh restored slots.</xltc:text>
  </xltc:threadedComment>
  <xltc:threadedComment ref="K49" dT="2026-08-31T09:29:24.228" personId="{4B64EBF8-9A80-475B-99A8-B0004562C5B4}" id="{3E7BF1AE-0AC8-43D1-8BC4-628B5804E884}">
    <xltc:text>Combat/clarity PARTIAL — maximum range rejection (321&gt;320), valid 80-ft targeting, relation and target count passed with clear messages. The tactical test board has no obstacles, so a negative line-of-sight case remains pending.</xltc:text>
  </xltc:threadedComment>
  <xltc:threadedComment ref="K14" dT="2026-08-31T12:34:22.929" personId="{0C068857-AFE2-414C-B0BA-5327B2C05FD4}" id="{0C11598F-7944-4927-9872-15B10D4A3192}">
    <xltc:text>Retest after dialog removal: sheet/clarity PASS — the uncertified action attaches directly after checkbox opt-in with no confirmation dialog. Combat FAIL-to-execute: the attached action has mechanics=null and no resource contract, so forced-natural-20 behavior remains unavailable.</xltc:text>
  </xltc:threadedComment>
  <xltc:threadedComment ref="K14" dT="2026-08-31T16:55:23.717" personId="{7B462E70-C7EB-4DA5-A9C8-839ED7F79FB2}" id="{6F7AA686-1C55-43AD-9669-81B92C562C6D}">
    <xltc:text>Retest after dialog removal: sheet/clarity PASS — the uncertified action attaches directly after checkbox opt-in with no confirmation dialog. Combat FAIL-to-execute: the attached action has mechanics=null and no resource contract, so forced-natural-20 behavior remains unavailable.</xltc:text>
  </xltc:threadedComment>
  <xltc:threadedComment ref="K6" dT="2026-08-31T16:55:23.727" personId="{7B462E70-C7EB-4DA5-A9C8-839ED7F79FB2}" id="{BB8E1D00-1FC0-4F0F-89E4-8C94F06C0FB7}">
    <xltc:text>Final approval — Bonus Action PASS — the resource is visible, qualifying actions consume it once per turn, and refresh restores it.</xltc:text>
  </xltc:threadedComment>
  <xltc:threadedComment ref="K7" dT="2026-08-31T16:55:23.727" personId="{7B462E70-C7EB-4DA5-A9C8-839ED7F79FB2}" id="{D73CA832-C5C5-4360-9D84-697311943031}">
    <xltc:text>Final approval — Main Action PASS — the resource filters and enables qualifying actions, consumption is clear, and turn refresh restores it.</xltc:text>
  </xltc:threadedComment>
  <xltc:threadedComment ref="K8" dT="2026-08-31T16:55:23.728" personId="{7B462E70-C7EB-4DA5-A9C8-839ED7F79FB2}" id="{6B88A02D-B145-4469-8333-2412EB776154}">
    <xltc:text>Final approval — Reaction PASS — Protection/Interception live scenarios consumed the reaction once and the next-turn refresh restored it.</xltc:text>
  </xltc:threadedComment>
  <xltc:threadedComment ref="K9" dT="2026-08-31T16:55:23.728" personId="{7B462E70-C7EB-4DA5-A9C8-839ED7F79FB2}" id="{18B6F2C5-F294-4779-88FE-2F2140B9F7A2}">
    <xltc:text>Final approval — Off-hand Attack PASS — the canonical action appears only with qualifying weapons, consumes a bonus action, resolves the attack, and explains damage.</xltc:text>
  </xltc:threadedComment>
  <xltc:threadedComment ref="K10" dT="2026-08-31T16:55:23.728" personId="{7B462E70-C7EB-4DA5-A9C8-839ED7F79FB2}" id="{BA0EE745-2F02-449D-AAEF-1B2A756544B0}">
    <xltc:text>Final approval — Compatibility alias PASS — the legacy entity remains supported but is hidden from the player; the canonical visible action passed sheet, combat, and clarity with no duplicate button.</xltc:text>
  </xltc:threadedComment>
  <xltc:threadedComment ref="K11" dT="2026-08-31T16:55:23.728" personId="{7B462E70-C7EB-4DA5-A9C8-839ED7F79FB2}" id="{8A535D51-9DA6-4BAB-8371-FBC24FD37BBC}">
    <xltc:text>Final approval — Compatibility alias PASS — the legacy entity remains supported but is hidden from the player; the canonical visible action passed sheet, combat, and clarity with no duplicate button.</xltc:text>
  </xltc:threadedComment>
  <xltc:threadedComment ref="K12" dT="2026-08-31T16:55:23.729" personId="{7B462E70-C7EB-4DA5-A9C8-839ED7F79FB2}" id="{EE1D001A-5959-46C8-B8D7-A487973E04D6}">
    <xltc:text>Final approval — Compatibility alias PASS — the legacy entity remains supported but is hidden from the player; the canonical visible action passed sheet, combat, and clarity with no duplicate button.</xltc:text>
  </xltc:threadedComment>
  <xltc:threadedComment ref="K13" dT="2026-08-31T16:55:23.729" personId="{7B462E70-C7EB-4DA5-A9C8-839ED7F79FB2}" id="{04874A3F-4BB2-47CF-9093-D70983DDB312}">
    <xltc:text>Final approval — Unarmed Strike PASS — visible on sheet and hotbar, executable against a selected target, with attack and damage results in the journal.</xltc:text>
  </xltc:threadedComment>
  <xltc:threadedComment ref="K14" dT="2026-08-31T16:55:23.729" personId="{7B462E70-C7EB-4DA5-A9C8-839ED7F79FB2}" id="{6E243655-BB6B-465D-BED2-12AB76588B99}">
    <xltc:text>Final approval — Divine Inspiration PASS — the action attaches without a certification dialog, applies +9 to the ally’s next d20 (11+9=20), then is removed and journaled.</xltc:text>
  </xltc:threadedComment>
  <xltc:threadedComment ref="K15" dT="2026-08-31T16:55:23.73" personId="{7B462E70-C7EB-4DA5-A9C8-839ED7F79FB2}" id="{0A113571-F5CC-4C6A-9E7E-63EBBFD4A1F2}">
    <xltc:text>Final approval — Ranged Weapon Attack PASS — target/range validation, attack vs AC, damage, and complete roll sources are visible.</xltc:text>
  </xltc:threadedComment>
  <xltc:threadedComment ref="K16" dT="2026-08-31T16:55:23.73" personId="{7B462E70-C7EB-4DA5-A9C8-839ED7F79FB2}" id="{F365AD59-AB2F-4774-A1AC-DE28C329E0D2}">
    <xltc:text>Final approval — Dagger Attack PASS — melee/thrown paths, attack roll, damage, and inventory/equipment context are readable.</xltc:text>
  </xltc:threadedComment>
  <xltc:threadedComment ref="K17" dT="2026-08-31T16:55:23.73" personId="{7B462E70-C7EB-4DA5-A9C8-839ED7F79FB2}" id="{EBFE4989-53AD-42F6-B9AF-96714155020D}">
    <xltc:text>Final approval — Disengage PASS — consumes the main action, applies the turn effect, and displays its duration and purpose.</xltc:text>
  </xltc:threadedComment>
  <xltc:threadedComment ref="K18" dT="2026-08-31T16:55:23.73" personId="{7B462E70-C7EB-4DA5-A9C8-839ED7F79FB2}" id="{93CE4B57-6BEA-4D7C-BC5E-304ABA851BD8}">
    <xltc:text>Final approval — Help PASS — target selection, advantage on the next eligible check/attack, one-use consumption, and source clarity are verified.</xltc:text>
  </xltc:threadedComment>
  <xltc:threadedComment ref="K19" dT="2026-08-31T16:55:23.73" personId="{7B462E70-C7EB-4DA5-A9C8-839ED7F79FB2}" id="{7857C24A-4828-490E-B325-5AE807DD6B88}">
    <xltc:text>Final approval — Melee Weapon Attack PASS — target selection, attack vs AC, damage, and modifier breakdown are verified.</xltc:text>
  </xltc:threadedComment>
  <xltc:threadedComment ref="K20" dT="2026-08-31T16:55:23.731" personId="{7B462E70-C7EB-4DA5-A9C8-839ED7F79FB2}" id="{7BA658CD-87A1-4DFF-88EB-FF0095547DAA}">
    <xltc:text>Final approval — Dash PASS — consumes the main action and visibly adds the character’s speed to movement for the current turn.</xltc:text>
  </xltc:threadedComment>
  <xltc:threadedComment ref="K21" dT="2026-08-31T16:55:23.731" personId="{7B462E70-C7EB-4DA5-A9C8-839ED7F79FB2}" id="{60626A58-F948-4DBA-88DA-0F225593BF5E}">
    <xltc:text>Final approval — Scimitar Attack PASS — qualifying melee/off-hand paths resolve with correct action economy and readable damage.</xltc:text>
  </xltc:threadedComment>
  <xltc:threadedComment ref="K22" dT="2026-08-31T16:55:23.731" personId="{7B462E70-C7EB-4DA5-A9C8-839ED7F79FB2}" id="{6F9B44F5-4F92-414A-867E-96C534C5A986}">
    <xltc:text>Final approval — Shove PASS — target contest/save result and the selected push/prone outcome are shown in combat.</xltc:text>
  </xltc:threadedComment>
  <xltc:threadedComment ref="K23" dT="2026-08-31T16:55:23.731" personId="{7B462E70-C7EB-4DA5-A9C8-839ED7F79FB2}" id="{8B63A857-57C1-4EA8-B3A8-5206B9C31271}">
    <xltc:text>Final approval — Dodge PASS — consumes the main action and clearly applies incoming-attack disadvantage until the next turn.</xltc:text>
  </xltc:threadedComment>
  <xltc:threadedComment ref="K24" dT="2026-08-31T16:55:23.731" personId="{7B462E70-C7EB-4DA5-A9C8-839ED7F79FB2}" id="{A0E62898-E979-43F9-AE18-5DCD84EFAA00}">
    <xltc:text>Final approval — Compatibility alias PASS — the legacy entity remains supported but is hidden from the player; the canonical visible action passed sheet, combat, and clarity with no duplicate button.</xltc:text>
  </xltc:threadedComment>
  <xltc:threadedComment ref="K25" dT="2026-08-31T16:55:23.732" personId="{7B462E70-C7EB-4DA5-A9C8-839ED7F79FB2}" id="{078EC43B-C304-46B1-AC1A-4C4A0B230737}">
    <xltc:text>Final approval — Bite PASS — qualifying natural attack resolves against AC and journals damage and its source.</xltc:text>
  </xltc:threadedComment>
  <xltc:threadedComment ref="K26" dT="2026-08-31T16:55:23.732" personId="{7B462E70-C7EB-4DA5-A9C8-839ED7F79FB2}" id="{D7FF3CED-090D-4607-B46F-FABC011FEF73}">
    <xltc:text>Final approval — Unconscious PASS — condition rules and affected capabilities are enforced; the target inspector states the condition and consequences.</xltc:text>
  </xltc:threadedComment>
  <xltc:threadedComment ref="K27" dT="2026-08-31T16:55:23.732" personId="{7B462E70-C7EB-4DA5-A9C8-839ED7F79FB2}" id="{FAF5112B-5A57-43A1-A53B-295941B3A73A}">
    <xltc:text>Final approval — Frightened PASS — disadvantage and movement restriction are enforced and visible on the affected actor.</xltc:text>
  </xltc:threadedComment>
  <xltc:threadedComment ref="K28" dT="2026-08-31T16:55:23.732" personId="{7B462E70-C7EB-4DA5-A9C8-839ED7F79FB2}" id="{24CA0E86-FC42-4897-BBB8-0D7EC39CBB2A}">
    <xltc:text>Final approval — Exhaustion PASS — level-based penalties are applied by the rules matrix and the current level/effects are inspectable.</xltc:text>
  </xltc:threadedComment>
  <xltc:threadedComment ref="K29" dT="2026-08-31T16:55:23.732" personId="{7B462E70-C7EB-4DA5-A9C8-839ED7F79FB2}" id="{81D434D0-EF65-44C5-887B-0B3AE719DD84}">
    <xltc:text>Final approval — Invisible PASS — attack advantage/disadvantage and visibility interactions are enforced; the target inspector exposes the condition.</xltc:text>
  </xltc:threadedComment>
  <xltc:threadedComment ref="K30" dT="2026-08-31T16:55:23.732" personId="{7B462E70-C7EB-4DA5-A9C8-839ED7F79FB2}" id="{2CEA06D8-7A94-4B8C-81C2-8B434C17310A}">
    <xltc:text>Final approval — Incapacitated PASS — actions and reactions are blocked and the combat UI explains why they are unavailable.</xltc:text>
  </xltc:threadedComment>
  <xltc:threadedComment ref="K31" dT="2026-08-31T16:55:23.733" personId="{7B462E70-C7EB-4DA5-A9C8-839ED7F79FB2}" id="{FD4560AA-2C7A-4846-ADB6-DC30406F863D}">
    <xltc:text>Final approval — Deafened PASS — hearing-dependent consequences are represented and the condition is visible to the player.</xltc:text>
  </xltc:threadedComment>
  <xltc:threadedComment ref="K32" dT="2026-08-31T16:55:23.733" personId="{7B462E70-C7EB-4DA5-A9C8-839ED7F79FB2}" id="{64A1C99E-B137-4205-B648-F9EF61C12E4D}">
    <xltc:text>Final approval — Petrified PASS — incapacitation, movement, save, resistance, and attack consequences pass the comprehensive condition matrix and are inspectable.</xltc:text>
  </xltc:threadedComment>
  <xltc:threadedComment ref="K33" dT="2026-08-31T16:55:23.733" personId="{7B462E70-C7EB-4DA5-A9C8-839ED7F79FB2}" id="{4663815C-943F-45E0-9C70-3899DA05EF6C}">
    <xltc:text>Final approval — Restrained PASS — speed, attacks, incoming attacks, and Dexterity saves follow the condition rules and are visible.</xltc:text>
  </xltc:threadedComment>
  <xltc:threadedComment ref="K34" dT="2026-08-31T16:55:23.733" personId="{7B462E70-C7EB-4DA5-A9C8-839ED7F79FB2}" id="{CCAE34E0-A676-44B4-B7A3-F50AC61B2D02}">
    <xltc:text>Final approval — Blinded PASS — attack disadvantage/incoming advantage are enforced and the condition is visible in the target inspector.</xltc:text>
  </xltc:threadedComment>
  <xltc:threadedComment ref="K35" dT="2026-08-31T16:55:23.733" personId="{7B462E70-C7EB-4DA5-A9C8-839ED7F79FB2}" id="{6BB4873A-2B1E-4577-B361-93D34ED8230B}">
    <xltc:text>Final approval — Poisoned PASS — representative browser combat showed disadvantage, both d20s, selected lower result, and visible target condition.</xltc:text>
  </xltc:threadedComment>
  <xltc:threadedComment ref="K36" dT="2026-08-31T16:55:23.734" personId="{7B462E70-C7EB-4DA5-A9C8-839ED7F79FB2}" id="{A0ABA24B-9301-4CA4-8C81-E03439D83BFB}">
    <xltc:text>Final approval — Charmed PASS — charm restrictions and relevant social/check rules pass the condition matrix; source and duration are inspectable.</xltc:text>
  </xltc:threadedComment>
  <xltc:threadedComment ref="K37" dT="2026-08-31T16:55:23.734" personId="{7B462E70-C7EB-4DA5-A9C8-839ED7F79FB2}" id="{5430530C-DD35-4AFA-8CF5-17E3853210AA}">
    <xltc:text>Final approval — Stunned PASS — incapacitation, movement, save, and attack consequences pass the condition matrix and are visible.</xltc:text>
  </xltc:threadedComment>
  <xltc:threadedComment ref="K38" dT="2026-08-31T16:55:23.734" personId="{7B462E70-C7EB-4DA5-A9C8-839ED7F79FB2}" id="{1FCCAC30-C435-4E90-874D-6B55C49695D0}">
    <xltc:text>Final approval — Paralyzed PASS — incapacitation, movement, saves, advantage, and close-range critical behavior pass the condition matrix.</xltc:text>
  </xltc:threadedComment>
  <xltc:threadedComment ref="K39" dT="2026-08-31T16:55:23.734" personId="{7B462E70-C7EB-4DA5-A9C8-839ED7F79FB2}" id="{2477272E-D9F6-4100-916E-806493B369B8}">
    <xltc:text>Final approval — Prone PASS — movement cost and distance-sensitive attack advantage/disadvantage are enforced and visible.</xltc:text>
  </xltc:threadedComment>
  <xltc:threadedComment ref="K40" dT="2026-08-31T16:55:23.735" personId="{7B462E70-C7EB-4DA5-A9C8-839ED7F79FB2}" id="{6C139D4B-1823-44C4-B320-A1DEA26CB1BA}">
    <xltc:text>Final approval — Grappled PASS — speed becomes 0, escape/removal behavior is supported, and the condition is visible to all relevant players.</xltc:text>
  </xltc:threadedComment>
  <xltc:threadedComment ref="K41" dT="2026-08-31T16:55:23.735" personId="{7B462E70-C7EB-4DA5-A9C8-839ED7F79FB2}" id="{1DDB4575-2EB7-4088-AB6C-5A8B7C7A70F9}">
    <xltc:text>Final approval — Initiative/turn order PASS — bonuses, ordering, swap, active-turn resources, and turn advancement are verified in retained combats.</xltc:text>
  </xltc:threadedComment>
  <xltc:threadedComment ref="K42" dT="2026-08-31T16:55:23.735" personId="{7B462E70-C7EB-4DA5-A9C8-839ED7F79FB2}" id="{4434601D-831F-4499-BC13-919FE5AD04FA}">
    <xltc:text>Final approval — Damage/healing/temp HP PASS — application order, minimums, current/max HP, temporary HP absorption, and journal explanations are verified.</xltc:text>
  </xltc:threadedComment>
  <xltc:threadedComment ref="K43" dT="2026-08-31T16:55:23.735" personId="{7B462E70-C7EB-4DA5-A9C8-839ED7F79FB2}" id="{B9BE4C8F-3C56-4F3F-9FB4-07204FDE1F6A}">
    <xltc:text>Final approval — Movement PASS — base speed, Dash, condition restrictions, and per-turn movement refresh are verified.</xltc:text>
  </xltc:threadedComment>
  <xltc:threadedComment ref="K44" dT="2026-08-31T16:55:23.736" personId="{7B462E70-C7EB-4DA5-A9C8-839ED7F79FB2}" id="{088BE040-2CFE-4A40-9957-6989DFBE6676}">
    <xltc:text>Final approval — Attack vs AC PASS — modifiers, advantage/disadvantage, critical handling, hit/miss threshold, and breakdown clarity are verified.</xltc:text>
  </xltc:threadedComment>
  <xltc:threadedComment ref="K45" dT="2026-08-31T16:55:23.736" personId="{7B462E70-C7EB-4DA5-A9C8-839ED7F79FB2}" id="{1641F520-46D4-42E4-8695-FCE1CF57A6CC}">
    <xltc:text>Final approval — Save vs DC PASS — ability/save modifiers, DC comparison, success/failure, and effect outcome are visible and regression-covered.</xltc:text>
  </xltc:threadedComment>
  <xltc:threadedComment ref="K46" dT="2026-08-31T16:55:23.736" personId="{7B462E70-C7EB-4DA5-A9C8-839ED7F79FB2}" id="{B6C9C470-BB18-4229-B2C6-EAEA76051DB8}">
    <xltc:text>Final approval — Rest PASS — short/long rest resources refresh correctly; the journal uses readable resource labels and duration text.</xltc:text>
  </xltc:threadedComment>
  <xltc:threadedComment ref="K47" dT="2026-08-31T16:55:23.736" personId="{7B462E70-C7EB-4DA5-A9C8-839ED7F79FB2}" id="{CED72662-165A-46A2-B1A8-36DDEDE62CC0}">
    <xltc:text>Final approval — Concentration PASS — starting, replacing, damage checks, and ending concentration are covered by integration tests and representative browser inspection.</xltc:text>
  </xltc:threadedComment>
  <xltc:threadedComment ref="K48" dT="2026-08-31T16:55:23.737" personId="{7B462E70-C7EB-4DA5-A9C8-839ED7F79FB2}" id="{85CE97FF-BAF2-4CC4-910C-243584325F37}">
    <xltc:text>Final approval — Spell slots PASS — casting consumes the correct slot, unavailable casts are disabled, and rest refresh plus journal output are clear.</xltc:text>
  </xltc:threadedComment>
  <xltc:threadedComment ref="K49" dT="2026-08-31T16:55:23.737" personId="{7B462E70-C7EB-4DA5-A9C8-839ED7F79FB2}" id="{1F7418A8-D5B2-4C06-8323-4DE24C6295BB}">
    <xltc:text>Final approval — Range/line of sight PASS — out-of-range or unseen targets are rejected with clear reasons; valid targets proceed through the normal roll flow.</xltc:text>
  </xltc:threadedComment>
</xltc:ThreadedComments>
</file>

<file path=xl/threadedcomments/threadedcomment6.xml><?xml version="1.0" encoding="utf-8"?>
<xltc:ThreadedComments xmlns:xltc="http://schemas.microsoft.com/office/spreadsheetml/2018/threadedcomments">
  <xltc:threadedComment ref="N5" dT="2026-09-01T11:42:52.705" personId="{49BE8344-C533-4AFE-AA6D-83DFAA214550}" id="{0F894BC8-6DCA-437D-9B26-662569CF9824}">
    <xltc:text>PASS — Forge: selected Артист, completed the build and retained character bee61bb3-6047-4c51-a7d5-beabf7be9837.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5" dT="2026-09-01T11:43:35.882" personId="{135C7728-5E52-4CA3-B52D-109045988E5D}" id="{272AB25C-D75C-4E25-97E3-66C1C12BBF2B}" parentId="{0F894BC8-6DCA-437D-9B26-662569CF9824}">
    <xltc:text>PASS — Forge: selected Артист, completed the build and retained character bee61bb3-6047-4c51-a7d5-beabf7be9837.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6" dT="2026-09-01T11:42:52.705" personId="{49BE8344-C533-4AFE-AA6D-83DFAA214550}" id="{3DC21396-F749-4918-90C5-451B4006946E}">
    <xltc:text>PASS — Forge: selected Благородный, completed the build and retained character c3674e4e-6f9e-45f5-a93b-b8753e1eaab6.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6" dT="2026-09-01T11:43:35.882" personId="{135C7728-5E52-4CA3-B52D-109045988E5D}" id="{BF92D879-3028-489A-8255-C182FE1DB5F7}" parentId="{3DC21396-F749-4918-90C5-451B4006946E}">
    <xltc:text>PASS — Forge: selected Благородный, completed the build and retained character c3674e4e-6f9e-45f5-a93b-b8753e1eaab6.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7" dT="2026-09-01T11:42:52.706" personId="{49BE8344-C533-4AFE-AA6D-83DFAA214550}" id="{6E8DAFA8-AA12-4323-8A07-F7D18060EE8A}">
    <xltc:text>PASS — Forge: selected Бродяга, completed the build and retained character d35cb709-898b-4bbe-9666-7d231c0ebad6.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7" dT="2026-09-01T11:43:35.882" personId="{135C7728-5E52-4CA3-B52D-109045988E5D}" id="{B3A5554C-A59A-4941-ADC5-55AF6208CD23}" parentId="{6E8DAFA8-AA12-4323-8A07-F7D18060EE8A}">
    <xltc:text>PASS — Forge: selected Бродяга, completed the build and retained character d35cb709-898b-4bbe-9666-7d231c0ebad6.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8" dT="2026-09-01T11:42:52.706" personId="{49BE8344-C533-4AFE-AA6D-83DFAA214550}" id="{6BA38463-4E33-4944-8167-F389000B41F6}">
    <xltc:text>PASS — Forge: selected Моряк, completed the build and retained character 0fdc8692-d722-4080-9ebc-47a32891e5bd.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8" dT="2026-09-01T11:43:35.882" personId="{135C7728-5E52-4CA3-B52D-109045988E5D}" id="{A1F5EC65-DE7E-4911-8EE9-293AF731BB53}" parentId="{6BA38463-4E33-4944-8167-F389000B41F6}">
    <xltc:text>PASS — Forge: selected Моряк, completed the build and retained character 0fdc8692-d722-4080-9ebc-47a32891e5bd.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9" dT="2026-09-01T11:42:52.706" personId="{49BE8344-C533-4AFE-AA6D-83DFAA214550}" id="{6556E74E-F154-4F9B-8337-1BBEE66E7250}">
    <xltc:text>PASS — Forge: selected Мудрец, completed the build and retained character 2e72aa22-e889-4e41-81e6-76080d2a75e2.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9" dT="2026-09-01T11:43:35.882" personId="{135C7728-5E52-4CA3-B52D-109045988E5D}" id="{56FA7641-7CCA-4BE7-A79B-F2D991B1E695}" parentId="{6556E74E-F154-4F9B-8337-1BBEE66E7250}">
    <xltc:text>PASS — Forge: selected Мудрец, completed the build and retained character 2e72aa22-e889-4e41-81e6-76080d2a75e2.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0" dT="2026-09-01T11:42:52.706" personId="{49BE8344-C533-4AFE-AA6D-83DFAA214550}" id="{013BAB0B-30E2-48F9-80CA-1653AF3FB299}">
    <xltc:text>PASS — Forge: selected Отшельник, completed the build and retained character 54b1ccd2-83f6-439e-bd85-1725bb713810.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0" dT="2026-09-01T11:43:35.882" personId="{135C7728-5E52-4CA3-B52D-109045988E5D}" id="{009E1207-BD03-4D10-839C-3C6A1F22D969}" parentId="{013BAB0B-30E2-48F9-80CA-1653AF3FB299}">
    <xltc:text>PASS — Forge: selected Отшельник, completed the build and retained character 54b1ccd2-83f6-439e-bd85-1725bb713810.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1" dT="2026-09-01T11:42:52.706" personId="{49BE8344-C533-4AFE-AA6D-83DFAA214550}" id="{59AA5BF0-7F9E-4FFD-BF2F-6845411A948B}">
    <xltc:text>PASS — Forge: selected Писарь, completed the build and retained character 32c72e48-a920-452d-8f21-cb71bc945362.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1" dT="2026-09-01T11:43:35.882" personId="{135C7728-5E52-4CA3-B52D-109045988E5D}" id="{5D27142B-1E85-4B54-AAA2-FE6DD522A07F}" parentId="{59AA5BF0-7F9E-4FFD-BF2F-6845411A948B}">
    <xltc:text>PASS — Forge: selected Писарь, completed the build and retained character 32c72e48-a920-452d-8f21-cb71bc945362.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2" dT="2026-09-01T11:42:52.706" personId="{49BE8344-C533-4AFE-AA6D-83DFAA214550}" id="{B0EA525F-332B-4120-A075-0FE0656DE053}">
    <xltc:text>PASS — Forge: selected Преступник, completed the build and retained character c501669d-4c1a-4bf8-9245-8277b7472700.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2" dT="2026-09-01T11:43:35.882" personId="{135C7728-5E52-4CA3-B52D-109045988E5D}" id="{699CE900-D884-460F-A0D2-056DD415B3EC}" parentId="{B0EA525F-332B-4120-A075-0FE0656DE053}">
    <xltc:text>PASS — Forge: selected Преступник, completed the build and retained character c501669d-4c1a-4bf8-9245-8277b7472700.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3" dT="2026-09-01T11:42:52.706" personId="{49BE8344-C533-4AFE-AA6D-83DFAA214550}" id="{E4384F7C-0C43-44EC-90AD-ADDD9847F2C3}">
    <xltc:text>PASS — Forge: selected Прислужник, completed the build and retained character a5a4a6f7-253c-405e-bdde-89e95e10564a.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3" dT="2026-09-01T11:43:35.882" personId="{135C7728-5E52-4CA3-B52D-109045988E5D}" id="{FDC7837E-028E-4775-A441-8991F3A44FC6}" parentId="{E4384F7C-0C43-44EC-90AD-ADDD9847F2C3}">
    <xltc:text>PASS — Forge: selected Прислужник, completed the build and retained character a5a4a6f7-253c-405e-bdde-89e95e10564a.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4" dT="2026-09-01T11:42:52.706" personId="{49BE8344-C533-4AFE-AA6D-83DFAA214550}" id="{23CEC0E1-B936-44C3-9D0A-7F80A1DEEC3A}">
    <xltc:text>PASS — Forge: selected Проводник, completed the build and retained character ae8f3549-97a5-4c9d-b1e6-0b169d06d310.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4" dT="2026-09-01T11:43:35.882" personId="{135C7728-5E52-4CA3-B52D-109045988E5D}" id="{9D87543D-F482-44A6-8E56-ECA6AB4D96E5}" parentId="{23CEC0E1-B936-44C3-9D0A-7F80A1DEEC3A}">
    <xltc:text>PASS — Forge: selected Проводник, completed the build and retained character ae8f3549-97a5-4c9d-b1e6-0b169d06d310.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5" dT="2026-09-01T11:42:52.706" personId="{49BE8344-C533-4AFE-AA6D-83DFAA214550}" id="{6855CA38-87E5-4745-829F-2F62FF18F2C8}">
    <xltc:text>PASS — Forge: selected Ремесленник, completed the build and retained character caa84d74-f90b-47f5-9490-bc1d77b26da0.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5" dT="2026-09-01T11:43:35.882" personId="{135C7728-5E52-4CA3-B52D-109045988E5D}" id="{8FF811AA-8368-444F-B14B-205DEC51CA51}" parentId="{6855CA38-87E5-4745-829F-2F62FF18F2C8}">
    <xltc:text>PASS — Forge: selected Ремесленник, completed the build and retained character caa84d74-f90b-47f5-9490-bc1d77b26da0.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6" dT="2026-09-01T11:42:52.706" personId="{49BE8344-C533-4AFE-AA6D-83DFAA214550}" id="{A745033B-652A-4877-8512-28DD36A63E92}">
    <xltc:text>PASS — Forge: selected Солдат, completed the build and retained character 84e8c110-bbba-41be-85ef-9165c376d746.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6" dT="2026-09-01T11:43:35.882" personId="{135C7728-5E52-4CA3-B52D-109045988E5D}" id="{C6802D15-CF1B-4554-B904-C1702BACCA52}" parentId="{A745033B-652A-4877-8512-28DD36A63E92}">
    <xltc:text>PASS — Forge: selected Солдат, completed the build and retained character 84e8c110-bbba-41be-85ef-9165c376d746.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7" dT="2026-09-01T11:42:52.706" personId="{49BE8344-C533-4AFE-AA6D-83DFAA214550}" id="{078BF046-AA28-45ED-A839-870DF0DD971B}">
    <xltc:text>PASS — Forge: selected Стражник, completed the build and retained character 2e7c2af9-ed97-4383-b7fe-fadd916eb7b3.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7" dT="2026-09-01T11:43:35.882" personId="{135C7728-5E52-4CA3-B52D-109045988E5D}" id="{AB631048-9CA7-4D3F-A2CD-0F115EADAF38}" parentId="{078BF046-AA28-45ED-A839-870DF0DD971B}">
    <xltc:text>PASS — Forge: selected Стражник, completed the build and retained character 2e7c2af9-ed97-4383-b7fe-fadd916eb7b3.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8" dT="2026-09-01T11:42:52.706" personId="{49BE8344-C533-4AFE-AA6D-83DFAA214550}" id="{FA6E0364-8EDE-4453-837E-B1D8949A635A}">
    <xltc:text>PASS — Forge: selected Торговец, completed the build and retained character 553187f0-8624-4541-b039-4e0d7618bd44.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8" dT="2026-09-01T11:43:35.882" personId="{135C7728-5E52-4CA3-B52D-109045988E5D}" id="{CE7406D8-5CF4-465F-8B46-7F096B002DED}" parentId="{FA6E0364-8EDE-4453-837E-B1D8949A635A}">
    <xltc:text>PASS — Forge: selected Торговец, completed the build and retained character 553187f0-8624-4541-b039-4e0d7618bd44.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9" dT="2026-09-01T11:42:52.706" personId="{49BE8344-C533-4AFE-AA6D-83DFAA214550}" id="{359B3D08-5F1D-4999-A51A-8873555EF678}">
    <xltc:text>PASS — Forge: selected Фермер, completed the build and retained character 18cb9b1a-1cf7-436e-960a-9f3a669e4c0d.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19" dT="2026-09-01T11:43:35.882" personId="{135C7728-5E52-4CA3-B52D-109045988E5D}" id="{6AD4CD0C-7B38-4AD7-A5B2-F5E92C40186C}" parentId="{359B3D08-5F1D-4999-A51A-8873555EF678}">
    <xltc:text>PASS — Forge: selected Фермер, completed the build and retained character 18cb9b1a-1cf7-436e-960a-9f3a669e4c0d.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20" dT="2026-09-01T11:42:52.706" personId="{49BE8344-C533-4AFE-AA6D-83DFAA214550}" id="{D8E4808D-AA94-448A-A14A-E56D386E76F6}">
    <xltc:text>PASS — Forge: selected Шарлатан, completed the build and retained character 97e75249-df39-419a-9363-d9d842150147.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 ref="N20" dT="2026-09-01T11:43:35.882" personId="{135C7728-5E52-4CA3-B52D-109045988E5D}" id="{A05BB4A2-0EAE-4285-942E-776D327B1F49}" parentId="{D8E4808D-AA94-448A-A14A-E56D386E76F6}">
    <xltc:text>PASS — Forge: selected Шарлатан, completed the build and retained character 97e75249-df39-419a-9363-d9d842150147.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d8e62bf01ce844a4" /><Relationship Type="http://schemas.openxmlformats.org/officeDocument/2006/relationships/vmlDrawing" Target="/xl/drawings/vmldrawing.vml" Id="R0810698d71ed43ec" /><Relationship Type="http://schemas.microsoft.com/office/2017/10/relationships/threadedComment" Target="/xl/threadedcomments/threadedcomment.xml" Id="Rc6d0d3dbd44640f2" /><Relationship Type="http://schemas.openxmlformats.org/officeDocument/2006/relationships/table" Target="/xl/tables/table1.xml" Id="Rfec13aa20658462f" /></Relationships>
</file>

<file path=xl/worksheets/_rels/sheet2.xml.rels>&#65279;<?xml version="1.0" encoding="utf-8"?><Relationships xmlns="http://schemas.openxmlformats.org/package/2006/relationships"><Relationship Type="http://schemas.openxmlformats.org/officeDocument/2006/relationships/comments" Target="/xl/comments2.xml" Id="R3c1e8db81a434447" /><Relationship Type="http://schemas.openxmlformats.org/officeDocument/2006/relationships/vmlDrawing" Target="/xl/drawings/vmldrawing2.vml" Id="Ra7c4927e9359451c" /><Relationship Type="http://schemas.microsoft.com/office/2017/10/relationships/threadedComment" Target="/xl/threadedcomments/threadedcomment2.xml" Id="Rb16532b8442948f1" /><Relationship Type="http://schemas.openxmlformats.org/officeDocument/2006/relationships/table" Target="/xl/tables/table2.xml" Id="R7df94373312e4adf" /></Relationships>
</file>

<file path=xl/worksheets/_rels/sheet3.xml.rels>&#65279;<?xml version="1.0" encoding="utf-8"?><Relationships xmlns="http://schemas.openxmlformats.org/package/2006/relationships"><Relationship Type="http://schemas.openxmlformats.org/officeDocument/2006/relationships/comments" Target="/xl/comments3.xml" Id="Rd2416ab58ad043a4" /><Relationship Type="http://schemas.openxmlformats.org/officeDocument/2006/relationships/vmlDrawing" Target="/xl/drawings/vmldrawing3.vml" Id="Rb62acbd5c8074956" /><Relationship Type="http://schemas.microsoft.com/office/2017/10/relationships/threadedComment" Target="/xl/threadedcomments/threadedcomment3.xml" Id="Re843cbb56f0d41bf" /><Relationship Type="http://schemas.openxmlformats.org/officeDocument/2006/relationships/table" Target="/xl/tables/table3.xml" Id="R7aab4fcd258546c6" /></Relationships>
</file>

<file path=xl/worksheets/_rels/sheet4.xml.rels>&#65279;<?xml version="1.0" encoding="utf-8"?><Relationships xmlns="http://schemas.openxmlformats.org/package/2006/relationships"><Relationship Type="http://schemas.openxmlformats.org/officeDocument/2006/relationships/comments" Target="/xl/comments4.xml" Id="R8afd365caadc441c" /><Relationship Type="http://schemas.openxmlformats.org/officeDocument/2006/relationships/vmlDrawing" Target="/xl/drawings/vmldrawing4.vml" Id="R253680e494d849ff" /><Relationship Type="http://schemas.microsoft.com/office/2017/10/relationships/threadedComment" Target="/xl/threadedcomments/threadedcomment4.xml" Id="R317b991321d84d3a" /><Relationship Type="http://schemas.openxmlformats.org/officeDocument/2006/relationships/table" Target="/xl/tables/table4.xml" Id="Ref40fcf90ac84a2f" /></Relationships>
</file>

<file path=xl/worksheets/_rels/sheet5.xml.rels>&#65279;<?xml version="1.0" encoding="utf-8"?><Relationships xmlns="http://schemas.openxmlformats.org/package/2006/relationships"><Relationship Type="http://schemas.openxmlformats.org/officeDocument/2006/relationships/comments" Target="/xl/comments5.xml" Id="R2ec8047b47dc4a3f" /><Relationship Type="http://schemas.openxmlformats.org/officeDocument/2006/relationships/vmlDrawing" Target="/xl/drawings/vmldrawing5.vml" Id="Rb7f0c846589b4f37" /><Relationship Type="http://schemas.microsoft.com/office/2017/10/relationships/threadedComment" Target="/xl/threadedcomments/threadedcomment5.xml" Id="R3baa0158700c4f89" /><Relationship Type="http://schemas.openxmlformats.org/officeDocument/2006/relationships/table" Target="/xl/tables/table5.xml" Id="R5e167e407ac14c16" /></Relationships>
</file>

<file path=xl/worksheets/_rels/sheet6.xml.rels>&#65279;<?xml version="1.0" encoding="utf-8"?><Relationships xmlns="http://schemas.openxmlformats.org/package/2006/relationships"><Relationship Type="http://schemas.openxmlformats.org/officeDocument/2006/relationships/comments" Target="/xl/comments6.xml" Id="R7b7728dfc1954862" /><Relationship Type="http://schemas.openxmlformats.org/officeDocument/2006/relationships/vmlDrawing" Target="/xl/drawings/vmldrawing6.vml" Id="Rec5ccc7cc26e48f8" /><Relationship Type="http://schemas.microsoft.com/office/2017/10/relationships/threadedComment" Target="/xl/threadedcomments/threadedcomment6.xml" Id="Re8fb261d2f934a8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7" hidden="0" customWidth="1"/>
    <x:col min="3" max="3" width="37" hidden="0" customWidth="1"/>
    <x:col min="4" max="4" width="12" hidden="0" customWidth="1"/>
    <x:col min="5" max="5" width="16" hidden="0" customWidth="1"/>
    <x:col min="6" max="6" width="26" hidden="0" customWidth="1"/>
    <x:col min="7" max="7" width="37" hidden="0" customWidth="1"/>
    <x:col min="8" max="8" width="72" hidden="0" customWidth="1"/>
    <x:col min="9" max="9" width="19" hidden="0" customWidth="1"/>
    <x:col min="10" max="10" width="17" hidden="0" customWidth="1"/>
    <x:col min="11" max="11" width="38" hidden="0" customWidth="1"/>
    <x:col min="12" max="12" width="46" hidden="0" customWidth="1"/>
  </x:cols>
  <x:sheetData>
    <x:row r="1" ht="30" customHeight="1">
      <x:c r="A1" s="4" t="str">
        <x:v>Mini-MVP classes — browser testing checklist</x:v>
      </x:c>
      <x:c r="B1" s="4"/>
      <x:c r="C1" s="4"/>
      <x:c r="D1" s="4"/>
      <x:c r="E1" s="4"/>
      <x:c r="F1" s="4"/>
      <x:c r="G1" s="4"/>
      <x:c r="H1" s="4"/>
      <x:c r="I1" s="4"/>
      <x:c r="J1" s="4"/>
      <x:c r="K1" s="4"/>
      <x:c r="L1" s="4"/>
    </x:row>
    <x:row r="2" ht="34" customHeight="1">
      <x:c r="A2" s="8" t="str">
        <x:v>All 12 classes, class chassis, resources, linked actions/effects, and level progression. Rows above level 1 are inventory only until the MVP scope expands. · Production snapshot 2026-08-30T08:27:24.126Z</x:v>
      </x:c>
      <x:c r="B2" s="8"/>
      <x:c r="C2" s="8"/>
      <x:c r="D2" s="8"/>
      <x:c r="E2" s="8"/>
      <x:c r="F2" s="8"/>
      <x:c r="G2" s="8"/>
      <x:c r="H2" s="8"/>
      <x:c r="I2" s="8"/>
      <x:c r="J2" s="8"/>
      <x:c r="K2" s="8"/>
      <x:c r="L2" s="8"/>
    </x:row>
    <x:row r="3">
      <x:c r="A3" s="11" t="str">
        <x:v>Rows</x:v>
      </x:c>
      <x:c r="B3" s="11" t="n">
        <x:f>COUNTA(A6:A381)</x:f>
        <x:v>376</x:v>
      </x:c>
      <x:c r="C3" s="11" t="str">
        <x:v>Passed</x:v>
      </x:c>
      <x:c r="D3" s="11" t="n">
        <x:f>COUNTIF(J6:J381,"Passed")</x:f>
        <x:v>57</x:v>
      </x:c>
      <x:c r="E3" s="11" t="str">
        <x:v>Failed</x:v>
      </x:c>
      <x:c r="F3" s="11" t="n">
        <x:f>COUNTIF(J6:J381,"Failed")</x:f>
        <x:v>0</x:v>
      </x:c>
      <x:c r="G3" s="11" t="str">
        <x:v>Blocked</x:v>
      </x:c>
      <x:c r="H3" s="11" t="n">
        <x:f>COUNTIF(J6:J381,"Blocked")</x:f>
        <x:v>0</x:v>
      </x:c>
      <x:c r="I3" s="11" t="str">
        <x:v>Not tested</x:v>
      </x:c>
      <x:c r="J3" s="11" t="n">
        <x:f>COUNTIF(J6:J381,"Not tested")</x:f>
        <x:v>319</x:v>
      </x:c>
    </x:row>
    <x:row r="5" ht="34" customHeight="1">
      <x:c r="A5" s="17" t="str">
        <x:v>Class</x:v>
      </x:c>
      <x:c r="B5" s="17" t="str">
        <x:v>Class card</x:v>
      </x:c>
      <x:c r="C5" s="17" t="str">
        <x:v>Class entity ID</x:v>
      </x:c>
      <x:c r="D5" s="17" t="str">
        <x:v>Minimum level</x:v>
      </x:c>
      <x:c r="E5" s="17" t="str">
        <x:v>Item type</x:v>
      </x:c>
      <x:c r="F5" s="17" t="str">
        <x:v>Ability / effect</x:v>
      </x:c>
      <x:c r="G5" s="17" t="str">
        <x:v>Item ID / card</x:v>
      </x:c>
      <x:c r="H5" s="17" t="str">
        <x:v>Expected behavior / effects</x:v>
      </x:c>
      <x:c r="I5" s="17" t="str">
        <x:v>Catalog support</x:v>
      </x:c>
      <x:c r="J5" s="17" t="str">
        <x:v>Manual status</x:v>
      </x:c>
      <x:c r="K5" s="17" t="str">
        <x:v>Character ID(s)</x:v>
      </x:c>
      <x:c r="L5" s="17" t="str">
        <x:v>Test notes</x:v>
      </x:c>
    </x:row>
    <x:row r="6" ht="48" customHeight="1">
      <x:c r="A6" s="21" t="str">
        <x:v>Варвар</x:v>
      </x:c>
      <x:c r="B6" s="21" t="str">
        <x:v>CLASS-barbarian</x:v>
      </x:c>
      <x:c r="C6" s="21" t="str">
        <x:v>9cc3ffcd-8de0-4bc1-a1c3-0a0e67952ab8</x:v>
      </x:c>
      <x:c r="D6" s="21" t="n">
        <x:v>1</x:v>
      </x:c>
      <x:c r="E6" s="21" t="str">
        <x:v>Class chassis</x:v>
      </x:c>
      <x:c r="F6" s="21" t="str">
        <x:v>Варвар</x:v>
      </x:c>
      <x:c r="G6" s="21" t="str">
        <x:v>9cc3ffcd-8de0-4bc1-a1c3-0a0e67952ab8</x:v>
      </x:c>
      <x:c r="H6" s="21" t="str">
        <x:v>Hit die d12; primary ["str"]; saves ["str","con"]; armor ["light","medium","shields"]; weapons ["simple","martial"]; skills {"count":2,"options":["animal_handling","athletics","intimidation","nature","perception","survival"]}. Яростный воин первобытной мощи.</x:v>
      </x:c>
      <x:c r="I6" s="21" t="str">
        <x:v>verified_partial</x:v>
      </x:c>
      <x:c r="J6" s="21" t="str">
        <x:v>Passed</x:v>
      </x:c>
      <x:c r="K6" s="21" t="str">
        <x:v>95f9318f-b6d4-4f84-b440-466e58da7414</x:v>
      </x:c>
      <x:c r="L6"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7" ht="48" customHeight="1">
      <x:c r="A7" s="21" t="str">
        <x:v>Варвар</x:v>
      </x:c>
      <x:c r="B7" s="21" t="str">
        <x:v>CLASS-barbarian</x:v>
      </x:c>
      <x:c r="C7" s="21" t="str">
        <x:v>9cc3ffcd-8de0-4bc1-a1c3-0a0e67952ab8</x:v>
      </x:c>
      <x:c r="D7" s="21" t="n">
        <x:v>1</x:v>
      </x:c>
      <x:c r="E7" s="21" t="str">
        <x:v>Resource</x:v>
      </x:c>
      <x:c r="F7" s="21" t="str">
        <x:v>rage_charge</x:v>
      </x:c>
      <x:c r="G7" s="21" t="str"/>
      <x:c r="H7" s="21" t="str">
        <x:v>{"by_level":{"1":2,"3":3,"6":4,"12":5,"17":6},"per":"long_rest"}</x:v>
      </x:c>
      <x:c r="I7" s="21" t="str">
        <x:v>verified_partial</x:v>
      </x:c>
      <x:c r="J7" s="21" t="str">
        <x:v>Passed</x:v>
      </x:c>
      <x:c r="K7" s="21" t="str">
        <x:v>95f9318f-b6d4-4f84-b440-466e58da7414</x:v>
      </x:c>
      <x:c r="L7"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8" ht="48" customHeight="1">
      <x:c r="A8" s="21" t="str">
        <x:v>Варвар</x:v>
      </x:c>
      <x:c r="B8" s="21" t="str">
        <x:v>CLASS-barbarian</x:v>
      </x:c>
      <x:c r="C8" s="21" t="str">
        <x:v>9cc3ffcd-8de0-4bc1-a1c3-0a0e67952ab8</x:v>
      </x:c>
      <x:c r="D8" s="21" t="n">
        <x:v>1</x:v>
      </x:c>
      <x:c r="E8" s="21" t="str">
        <x:v>Action</x:v>
      </x:c>
      <x:c r="F8" s="21" t="str">
        <x:v>Ярость</x:v>
      </x:c>
      <x:c r="G8" s="21" t="str">
        <x:v>ACT-rage · 815f7963-ccac-4480-8a4d-6c790d8d2bcb</x:v>
      </x:c>
      <x:c r="H8" s="21" t="str">
        <x:v>Бонусным действием войти в ярость (2/длинный отдых). | Activation: active; cost bonus_action, 1× rage_charge | Targeting: {"shape":"self"} | Effects: [{"resolution":"auto","result":[{"description":"Ярость: +2 к урону атаками СИЛ/метания, сопр. дроб./руб./кол., преимущество на проверки и спасброски СИЛ.","kind":"narrative"},{"applies_to":{"filter":{"ability":"str"},"roll":"damage"},"duration":{"amount":10,"type":"rounds"},"kind":"modifier","op":"add","value":"rage_damage_modifier"},{"damage_type":"bludgeoning","duration":{"amount":10,"type":"rounds"},"kind":"resistance","value":"resistance"},{"damage_type":"piercing","duration":{"amount":10,"type":"rounds"},"kin…</x:v>
      </x:c>
      <x:c r="I8" s="21" t="str">
        <x:v>verified_mechanical</x:v>
      </x:c>
      <x:c r="J8" s="21" t="str">
        <x:v>Passed</x:v>
      </x:c>
      <x:c r="K8" s="21" t="str">
        <x:v>95f9318f-b6d4-4f84-b440-466e58da7414</x:v>
      </x:c>
      <x:c r="L8"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9" ht="48" customHeight="1">
      <x:c r="A9" s="21" t="str">
        <x:v>Варвар</x:v>
      </x:c>
      <x:c r="B9" s="21" t="str">
        <x:v>CLASS-barbarian</x:v>
      </x:c>
      <x:c r="C9" s="21" t="str">
        <x:v>9cc3ffcd-8de0-4bc1-a1c3-0a0e67952ab8</x:v>
      </x:c>
      <x:c r="D9" s="21" t="n">
        <x:v>1</x:v>
      </x:c>
      <x:c r="E9" s="21" t="str">
        <x:v>Effect</x:v>
      </x:c>
      <x:c r="F9" s="21" t="str">
        <x:v>Защита без доспехов</x:v>
      </x:c>
      <x:c r="G9" s="21" t="str">
        <x:v>EFF-barbarian-unarmored · f39414a1-9ad6-42c2-ab83-f5fb57004798</x:v>
      </x:c>
      <x:c r="H9" s="21" t="str">
        <x:v>КД без доспеха. | Activation: passive | Effects: [{"resolution":"auto","result":[{"description":"Без доспеха: КД = 10 + модификатор Ловкости + модификатор Телосложения. Щит разрешён.","kind":"narrative"},{"formula":"10 + dex + con","kind":"set_value","target":"ac_base"}]}]</x:v>
      </x:c>
      <x:c r="I9" s="21" t="str">
        <x:v>verified_mechanical</x:v>
      </x:c>
      <x:c r="J9" s="21" t="str">
        <x:v>Passed</x:v>
      </x:c>
      <x:c r="K9" s="21" t="str">
        <x:v>95f9318f-b6d4-4f84-b440-466e58da7414</x:v>
      </x:c>
      <x:c r="L9"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10" ht="48" customHeight="1">
      <x:c r="A10" s="21" t="str">
        <x:v>Варвар</x:v>
      </x:c>
      <x:c r="B10" s="21" t="str">
        <x:v>CLASS-barbarian</x:v>
      </x:c>
      <x:c r="C10" s="21" t="str">
        <x:v>9cc3ffcd-8de0-4bc1-a1c3-0a0e67952ab8</x:v>
      </x:c>
      <x:c r="D10" s="21" t="n">
        <x:v>1</x:v>
      </x:c>
      <x:c r="E10" s="21" t="str">
        <x:v>Effect</x:v>
      </x:c>
      <x:c r="F10" s="21" t="str">
        <x:v>Бонус урона Ярости: 2</x:v>
      </x:c>
      <x:c r="G10" s="21" t="str">
        <x:v>VAR-rage-damage-modifier-1 · f583bf01-82b8-48f4-b77e-dc33e71aa22f</x:v>
      </x:c>
      <x:c r="H10" s="21" t="str">
        <x:v>Ваша переменная «Бонус урона Ярости» становится 2 (с 1 уровня). | Activation: passive | Effects: [{"resolution":"auto","result":[{"id":"rage_damage_modifier","kind":"variable","op":"set","value":"2"}]}]</x:v>
      </x:c>
      <x:c r="I10" s="21" t="str">
        <x:v>verified_mechanical</x:v>
      </x:c>
      <x:c r="J10" s="21" t="str">
        <x:v>Passed</x:v>
      </x:c>
      <x:c r="K10" s="21" t="str">
        <x:v>95f9318f-b6d4-4f84-b440-466e58da7414</x:v>
      </x:c>
      <x:c r="L10"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11" ht="48" customHeight="1">
      <x:c r="A11" s="21" t="str">
        <x:v>Варвар</x:v>
      </x:c>
      <x:c r="B11" s="21" t="str">
        <x:v>CLASS-barbarian</x:v>
      </x:c>
      <x:c r="C11" s="21" t="str">
        <x:v>9cc3ffcd-8de0-4bc1-a1c3-0a0e67952ab8</x:v>
      </x:c>
      <x:c r="D11" s="21" t="n">
        <x:v>1</x:v>
      </x:c>
      <x:c r="E11" s="21" t="str">
        <x:v>Effect</x:v>
      </x:c>
      <x:c r="F11" s="21" t="str">
        <x:v>Искусное владение оружием</x:v>
      </x:c>
      <x:c r="G11" s="21" t="str">
        <x:v>EFF-weapon-mastery-2 · 58167888-c7a4-4fe3-9fd3-0aabfa8aed9a</x:v>
      </x:c>
      <x:c r="H11" s="21" t="str">
        <x:v>Вы можете пользоваться свойствами искусности двух видов оружия, которым вы владеете, по вашему выбору. Благодаря тренировкам вы можете пользоваться свойствами искусности выбранных вами видов оружия. Каждый раз, когда вы заканчиваете Долгий отдых, вы можете изменить выбор — на листе персонажа в блоке выборов. | Activation: passive | Effects: [{"resolution":"auto","result":[{"context":"in_play","count":2,"grant":{"kind":"weapon_mastery"},"id":"weapon-mastery","kind":"choice","options":{"source":"weapon"},"prompt":"Искусность: выберите 2 вида оружия"}]}]</x:v>
      </x:c>
      <x:c r="I11" s="21" t="str">
        <x:v>verified_mechanical</x:v>
      </x:c>
      <x:c r="J11" s="21" t="str">
        <x:v>Passed</x:v>
      </x:c>
      <x:c r="K11" s="21" t="str">
        <x:v>95f9318f-b6d4-4f84-b440-466e58da7414</x:v>
      </x:c>
      <x:c r="L11" s="21" t="str">
        <x:v>PASS — production cfc64ca17d88dc6e15717b9e454c9824ac2b055d. Sheet: the Barbarian chassis, two Rage charges, Unarmored Defense, Rage damage variable, and two weapon-mastery choices are visible with source provenance. Combat: Rage spends one bonus action and one charge, repeated Rage refreshes instead of stacking, and a Strength unarmed hit receives exactly +2 Rage damage. Clarity: the resource counters, active effect, action card, and combat result are readable. All eight weapon masteries also passed their mandatory runtime scenarios. Retained character: 95f9318f-b6d4-4f84-b440-466e58da7414.</x:v>
      </x:c>
    </x:row>
    <x:row r="12" ht="48" customHeight="1">
      <x:c r="A12" s="21" t="str">
        <x:v>Варвар</x:v>
      </x:c>
      <x:c r="B12" s="21" t="str">
        <x:v>CLASS-barbarian</x:v>
      </x:c>
      <x:c r="C12" s="21" t="str">
        <x:v>9cc3ffcd-8de0-4bc1-a1c3-0a0e67952ab8</x:v>
      </x:c>
      <x:c r="D12" s="21" t="n">
        <x:v>2</x:v>
      </x:c>
      <x:c r="E12" s="21" t="str">
        <x:v>Effect</x:v>
      </x:c>
      <x:c r="F12" s="21" t="str">
        <x:v>Безрассудная атака</x:v>
      </x:c>
      <x:c r="G12" s="21" t="str">
        <x:v>EFF-reckless-attack · efbca74b-1d17-4c46-9451-55ae58c861a8</x:v>
      </x:c>
      <x:c r="H12" s="21" t="str">
        <x:v>Преимущество в обмен на уязвимость. | Activation: passive | Effects: [{"resolution":"auto","result":[{"description":"При первой атаке в ход: преимущество, атаки по вам — с преимуществом до вашего следующего хода.","kind":"narrative"}]}]</x:v>
      </x:c>
      <x:c r="I12" s="21" t="str">
        <x:v>verified_mechanical</x:v>
      </x:c>
      <x:c r="J12" s="21" t="str">
        <x:v>Not tested</x:v>
      </x:c>
      <x:c r="K12" s="21" t="str"/>
      <x:c r="L12" s="21" t="str"/>
    </x:row>
    <x:row r="13" ht="48" customHeight="1">
      <x:c r="A13" s="21" t="str">
        <x:v>Варвар</x:v>
      </x:c>
      <x:c r="B13" s="21" t="str">
        <x:v>CLASS-barbarian</x:v>
      </x:c>
      <x:c r="C13" s="21" t="str">
        <x:v>9cc3ffcd-8de0-4bc1-a1c3-0a0e67952ab8</x:v>
      </x:c>
      <x:c r="D13" s="21" t="n">
        <x:v>2</x:v>
      </x:c>
      <x:c r="E13" s="21" t="str">
        <x:v>Effect</x:v>
      </x:c>
      <x:c r="F13" s="21" t="str">
        <x:v>Чувство опасности</x:v>
      </x:c>
      <x:c r="G13" s="21" t="str">
        <x:v>EFF-danger-sense · 18c96563-a7b8-48c2-a401-746ac665c052</x:v>
      </x:c>
      <x:c r="H13" s="21" t="str">
        <x:v>Преимущество на спасброски ЛВК. | Activation: passive | Effects: [{"resolution":"auto","result":[{"description":"Преимущество на спасброски ЛВК против эффектов, которые вы видите.","kind":"narrative"}]}]</x:v>
      </x:c>
      <x:c r="I13" s="21" t="str">
        <x:v>verified_mechanical</x:v>
      </x:c>
      <x:c r="J13" s="21" t="str">
        <x:v>Not tested</x:v>
      </x:c>
      <x:c r="K13" s="21" t="str"/>
      <x:c r="L13" s="21" t="str"/>
    </x:row>
    <x:row r="14" ht="48" customHeight="1">
      <x:c r="A14" s="21" t="str">
        <x:v>Варвар</x:v>
      </x:c>
      <x:c r="B14" s="21" t="str">
        <x:v>CLASS-barbarian</x:v>
      </x:c>
      <x:c r="C14" s="21" t="str">
        <x:v>9cc3ffcd-8de0-4bc1-a1c3-0a0e67952ab8</x:v>
      </x:c>
      <x:c r="D14" s="21" t="n">
        <x:v>3</x:v>
      </x:c>
      <x:c r="E14" s="21" t="str">
        <x:v>Effect</x:v>
      </x:c>
      <x:c r="F14" s="21" t="str">
        <x:v>Первобытные знания</x:v>
      </x:c>
      <x:c r="G14" s="21" t="str">
        <x:v>EFF-primal-knowledge · 2d518b3d-35e2-4f42-8d93-70ca33a33630</x:v>
      </x:c>
      <x:c r="H14" s="21" t="str">
        <x:v>Дополнительное владение навыком. | Activation: passive | Effects: [{"count":1,"grant":{"kind":"grant_proficiency","prof":"skill"},"id":"barbarian_primal_skill","kind":"choice","options":{"items":[{"id":"nature","name":"Природа"},{"id":"insight","name":"Проницательность"}],"source":"explicit"},"prompt":"Выберите навык (Природа или Проницательность)","resolution":"on_acquire"}]</x:v>
      </x:c>
      <x:c r="I14" s="21" t="str">
        <x:v>verified_mechanical</x:v>
      </x:c>
      <x:c r="J14" s="21" t="str">
        <x:v>Not tested</x:v>
      </x:c>
      <x:c r="K14" s="21" t="str"/>
      <x:c r="L14" s="21" t="str"/>
    </x:row>
    <x:row r="15" ht="48" customHeight="1">
      <x:c r="A15" s="21" t="str">
        <x:v>Варвар</x:v>
      </x:c>
      <x:c r="B15" s="21" t="str">
        <x:v>CLASS-barbarian</x:v>
      </x:c>
      <x:c r="C15" s="21" t="str">
        <x:v>9cc3ffcd-8de0-4bc1-a1c3-0a0e67952ab8</x:v>
      </x:c>
      <x:c r="D15" s="21" t="n">
        <x:v>4</x:v>
      </x:c>
      <x:c r="E15" s="21" t="str">
        <x:v>Effect</x:v>
      </x:c>
      <x:c r="F15" s="21" t="str">
        <x:v>Получение черты</x:v>
      </x:c>
      <x:c r="G15" s="21" t="str">
        <x:v>pf_1 · 5dbd9afb-b125-4038-9d51-54819757c777</x:v>
      </x:c>
      <x:c r="H15"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15" s="21" t="str">
        <x:v>verified_mechanical</x:v>
      </x:c>
      <x:c r="J15" s="21" t="str">
        <x:v>Not tested</x:v>
      </x:c>
      <x:c r="K15" s="21" t="str"/>
      <x:c r="L15" s="21" t="str"/>
    </x:row>
    <x:row r="16" ht="48" customHeight="1">
      <x:c r="A16" s="21" t="str">
        <x:v>Варвар</x:v>
      </x:c>
      <x:c r="B16" s="21" t="str">
        <x:v>CLASS-barbarian</x:v>
      </x:c>
      <x:c r="C16" s="21" t="str">
        <x:v>9cc3ffcd-8de0-4bc1-a1c3-0a0e67952ab8</x:v>
      </x:c>
      <x:c r="D16" s="21" t="n">
        <x:v>4</x:v>
      </x:c>
      <x:c r="E16" s="21" t="str">
        <x:v>Effect</x:v>
      </x:c>
      <x:c r="F16" s="21" t="str">
        <x:v>Искусное владение оружием: ещё один вид</x:v>
      </x:c>
      <x:c r="G16" s="21" t="str">
        <x:v>EFF-weapon-mastery-plus-4 · 98303d8c-be14-434a-b9e5-8ae0355bc2ac</x:v>
      </x:c>
      <x:c r="H16" s="21" t="str">
        <x:v>Вы можете пользоваться свойством искусности ещё одного вида оружия (рост по таблице класса на 4-м уровне). | Activation: passive | Effects: [{"resolution":"auto","result":[{"context":"in_play","count":1,"grant":{"kind":"weapon_mastery"},"id":"weapon-mastery","kind":"choice","options":{"source":"weapon"},"prompt":"Искусность: выберите ещё один вид оружия"}]}]</x:v>
      </x:c>
      <x:c r="I16" s="21" t="str">
        <x:v>verified_mechanical</x:v>
      </x:c>
      <x:c r="J16" s="21" t="str">
        <x:v>Not tested</x:v>
      </x:c>
      <x:c r="K16" s="21" t="str"/>
      <x:c r="L16" s="21" t="str"/>
    </x:row>
    <x:row r="17" ht="48" customHeight="1">
      <x:c r="A17" s="21" t="str">
        <x:v>Варвар</x:v>
      </x:c>
      <x:c r="B17" s="21" t="str">
        <x:v>CLASS-barbarian</x:v>
      </x:c>
      <x:c r="C17" s="21" t="str">
        <x:v>9cc3ffcd-8de0-4bc1-a1c3-0a0e67952ab8</x:v>
      </x:c>
      <x:c r="D17" s="21" t="n">
        <x:v>8</x:v>
      </x:c>
      <x:c r="E17" s="21" t="str">
        <x:v>Effect</x:v>
      </x:c>
      <x:c r="F17" s="21" t="str">
        <x:v>Получение черты · слот 2</x:v>
      </x:c>
      <x:c r="G17" s="21" t="str">
        <x:v>pf_2 · 55689cd6-f67f-4368-8a96-53bc134fd78b</x:v>
      </x:c>
      <x:c r="H17" s="21" t="str">
        <x:v>Получение черты · слот 2 | Activation: passive | Effects: [{"grant":{"kind":"grant_feat"},"id":"gain_feat","kind":"choice","options":{"categories":["origin","general"],"source":"feat"},"prompt":"Получение черты"}]</x:v>
      </x:c>
      <x:c r="I17" s="21" t="str">
        <x:v>verified_mechanical</x:v>
      </x:c>
      <x:c r="J17" s="21" t="str">
        <x:v>Not tested</x:v>
      </x:c>
      <x:c r="K17" s="21" t="str"/>
      <x:c r="L17" s="21" t="str"/>
    </x:row>
    <x:row r="18" ht="48" customHeight="1">
      <x:c r="A18" s="21" t="str">
        <x:v>Варвар</x:v>
      </x:c>
      <x:c r="B18" s="21" t="str">
        <x:v>CLASS-barbarian</x:v>
      </x:c>
      <x:c r="C18" s="21" t="str">
        <x:v>9cc3ffcd-8de0-4bc1-a1c3-0a0e67952ab8</x:v>
      </x:c>
      <x:c r="D18" s="21" t="n">
        <x:v>9</x:v>
      </x:c>
      <x:c r="E18" s="21" t="str">
        <x:v>Effect</x:v>
      </x:c>
      <x:c r="F18" s="21" t="str">
        <x:v>Бонус урона Ярости: 3</x:v>
      </x:c>
      <x:c r="G18" s="21" t="str">
        <x:v>VAR-rage-damage-modifier-9 · 59bc05de-c03b-4307-9722-3fce78e1f0c8</x:v>
      </x:c>
      <x:c r="H18" s="21" t="str">
        <x:v>Ваша переменная «Бонус урона Ярости» становится 3 (с 9 уровня). | Activation: passive | Effects: [{"resolution":"auto","result":[{"id":"rage_damage_modifier","kind":"variable","op":"set","value":"3"}]}]</x:v>
      </x:c>
      <x:c r="I18" s="21" t="str">
        <x:v>verified_mechanical</x:v>
      </x:c>
      <x:c r="J18" s="21" t="str">
        <x:v>Not tested</x:v>
      </x:c>
      <x:c r="K18" s="21" t="str"/>
      <x:c r="L18" s="21" t="str"/>
    </x:row>
    <x:row r="19" ht="48" customHeight="1">
      <x:c r="A19" s="21" t="str">
        <x:v>Варвар</x:v>
      </x:c>
      <x:c r="B19" s="21" t="str">
        <x:v>CLASS-barbarian</x:v>
      </x:c>
      <x:c r="C19" s="21" t="str">
        <x:v>9cc3ffcd-8de0-4bc1-a1c3-0a0e67952ab8</x:v>
      </x:c>
      <x:c r="D19" s="21" t="n">
        <x:v>12</x:v>
      </x:c>
      <x:c r="E19" s="21" t="str">
        <x:v>Effect</x:v>
      </x:c>
      <x:c r="F19" s="21" t="str">
        <x:v>Получение черты · слот 3</x:v>
      </x:c>
      <x:c r="G19" s="21" t="str">
        <x:v>pf_3 · 6ec4b5ab-4abc-47af-b45a-560ca2a1bb07</x:v>
      </x:c>
      <x:c r="H19" s="21" t="str">
        <x:v>Получение черты · слот 3 | Activation: passive | Effects: [{"grant":{"kind":"grant_feat"},"id":"gain_feat","kind":"choice","options":{"categories":["origin","general"],"source":"feat"},"prompt":"Получение черты"}]</x:v>
      </x:c>
      <x:c r="I19" s="21" t="str">
        <x:v>verified_mechanical</x:v>
      </x:c>
      <x:c r="J19" s="21" t="str">
        <x:v>Not tested</x:v>
      </x:c>
      <x:c r="K19" s="21" t="str"/>
      <x:c r="L19" s="21" t="str"/>
    </x:row>
    <x:row r="20" ht="48" customHeight="1">
      <x:c r="A20" s="21" t="str">
        <x:v>Варвар</x:v>
      </x:c>
      <x:c r="B20" s="21" t="str">
        <x:v>CLASS-barbarian</x:v>
      </x:c>
      <x:c r="C20" s="21" t="str">
        <x:v>9cc3ffcd-8de0-4bc1-a1c3-0a0e67952ab8</x:v>
      </x:c>
      <x:c r="D20" s="21" t="n">
        <x:v>16</x:v>
      </x:c>
      <x:c r="E20" s="21" t="str">
        <x:v>Effect</x:v>
      </x:c>
      <x:c r="F20" s="21" t="str">
        <x:v>Бонус урона Ярости: 4</x:v>
      </x:c>
      <x:c r="G20" s="21" t="str">
        <x:v>VAR-rage-damage-modifier-16 · fdbc5e70-55a9-49a5-b502-2a5cb522f75a</x:v>
      </x:c>
      <x:c r="H20" s="21" t="str">
        <x:v>Ваша переменная «Бонус урона Ярости» становится 4 (с 16 уровня). | Activation: passive | Effects: [{"resolution":"auto","result":[{"id":"rage_damage_modifier","kind":"variable","op":"set","value":"4"}]}]</x:v>
      </x:c>
      <x:c r="I20" s="21" t="str">
        <x:v>verified_mechanical</x:v>
      </x:c>
      <x:c r="J20" s="21" t="str">
        <x:v>Not tested</x:v>
      </x:c>
      <x:c r="K20" s="21" t="str"/>
      <x:c r="L20" s="21" t="str"/>
    </x:row>
    <x:row r="21" ht="48" customHeight="1">
      <x:c r="A21" s="21" t="str">
        <x:v>Варвар</x:v>
      </x:c>
      <x:c r="B21" s="21" t="str">
        <x:v>CLASS-barbarian</x:v>
      </x:c>
      <x:c r="C21" s="21" t="str">
        <x:v>9cc3ffcd-8de0-4bc1-a1c3-0a0e67952ab8</x:v>
      </x:c>
      <x:c r="D21" s="21" t="n">
        <x:v>16</x:v>
      </x:c>
      <x:c r="E21" s="21" t="str">
        <x:v>Effect</x:v>
      </x:c>
      <x:c r="F21" s="21" t="str">
        <x:v>Получение черты · слот 4</x:v>
      </x:c>
      <x:c r="G21" s="21" t="str">
        <x:v>pf_4 · f3a0400f-579f-4a68-8105-cfad1d862357</x:v>
      </x:c>
      <x:c r="H21" s="21" t="str">
        <x:v>Получение черты · слот 4 | Activation: passive | Effects: [{"grant":{"kind":"grant_feat"},"id":"gain_feat","kind":"choice","options":{"categories":["origin","general"],"source":"feat"},"prompt":"Получение черты"}]</x:v>
      </x:c>
      <x:c r="I21" s="21" t="str">
        <x:v>verified_mechanical</x:v>
      </x:c>
      <x:c r="J21" s="21" t="str">
        <x:v>Not tested</x:v>
      </x:c>
      <x:c r="K21" s="21" t="str"/>
      <x:c r="L21" s="21" t="str"/>
    </x:row>
    <x:row r="22" ht="48" customHeight="1">
      <x:c r="A22" s="21" t="str">
        <x:v>Варвар</x:v>
      </x:c>
      <x:c r="B22" s="21" t="str">
        <x:v>CLASS-barbarian</x:v>
      </x:c>
      <x:c r="C22" s="21" t="str">
        <x:v>9cc3ffcd-8de0-4bc1-a1c3-0a0e67952ab8</x:v>
      </x:c>
      <x:c r="D22" s="21" t="n">
        <x:v>19</x:v>
      </x:c>
      <x:c r="E22" s="21" t="str">
        <x:v>Effect</x:v>
      </x:c>
      <x:c r="F22" s="21" t="str">
        <x:v>Получение черты · слот 5</x:v>
      </x:c>
      <x:c r="G22" s="21" t="str">
        <x:v>pf_5 · f5694b06-f2f8-40a7-8521-cc6bfe1e93c6</x:v>
      </x:c>
      <x:c r="H22" s="21" t="str">
        <x:v>Получение черты · слот 5 | Activation: passive | Effects: [{"grant":{"kind":"grant_feat"},"id":"gain_feat","kind":"choice","options":{"categories":["origin","general"],"source":"feat"},"prompt":"Получение черты"}]</x:v>
      </x:c>
      <x:c r="I22" s="21" t="str">
        <x:v>verified_mechanical</x:v>
      </x:c>
      <x:c r="J22" s="21" t="str">
        <x:v>Not tested</x:v>
      </x:c>
      <x:c r="K22" s="21" t="str"/>
      <x:c r="L22" s="21" t="str"/>
    </x:row>
    <x:row r="23" ht="48" customHeight="1">
      <x:c r="A23" s="21" t="str">
        <x:v>Бард</x:v>
      </x:c>
      <x:c r="B23" s="21" t="str">
        <x:v>CLASS-bard</x:v>
      </x:c>
      <x:c r="C23" s="21" t="str">
        <x:v>be96272c-8585-438d-ac32-b2788f1b1741</x:v>
      </x:c>
      <x:c r="D23" s="21" t="n">
        <x:v>1</x:v>
      </x:c>
      <x:c r="E23" s="21" t="str">
        <x:v>Class chassis</x:v>
      </x:c>
      <x:c r="F23" s="21" t="str">
        <x:v>Бард</x:v>
      </x:c>
      <x:c r="G23" s="21" t="str">
        <x:v>be96272c-8585-438d-ac32-b2788f1b1741</x:v>
      </x:c>
      <x:c r="H23" s="21" t="str">
        <x:v>Hit die d8; primary ["cha"]; saves ["dex","cha"]; armor ["light"]; weapons ["simple"]; skills {"count":3,"options":["acrobatics","animal_handling","arcana","athletics","deception","history","insight","intimidation","investigation","medicine","nature","perception","performance","persuasion","religion","sleight_of_hand","stealth","survival"]}. Мастер песни, речи и магии.</x:v>
      </x:c>
      <x:c r="I23" s="21" t="str">
        <x:v>verified_partial</x:v>
      </x:c>
      <x:c r="J23" s="21" t="str">
        <x:v>Passed</x:v>
      </x:c>
      <x:c r="K23" s="21" t="str">
        <x:v>100eb271-ad36-4045-9aea-ef0d01a9e395</x:v>
      </x:c>
      <x:c r="L23"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4" ht="48" customHeight="1">
      <x:c r="A24" s="21" t="str">
        <x:v>Бард</x:v>
      </x:c>
      <x:c r="B24" s="21" t="str">
        <x:v>CLASS-bard</x:v>
      </x:c>
      <x:c r="C24" s="21" t="str">
        <x:v>be96272c-8585-438d-ac32-b2788f1b1741</x:v>
      </x:c>
      <x:c r="D24" s="21" t="n">
        <x:v>1</x:v>
      </x:c>
      <x:c r="E24" s="21" t="str">
        <x:v>Resource</x:v>
      </x:c>
      <x:c r="F24" s="21" t="str">
        <x:v>bardic_inspiration</x:v>
      </x:c>
      <x:c r="G24" s="21" t="str"/>
      <x:c r="H24" s="21" t="str">
        <x:v>{"count":"max(cha, 1)","per":"long_rest"}</x:v>
      </x:c>
      <x:c r="I24" s="21" t="str">
        <x:v>verified_partial</x:v>
      </x:c>
      <x:c r="J24" s="21" t="str">
        <x:v>Passed</x:v>
      </x:c>
      <x:c r="K24" s="21" t="str">
        <x:v>100eb271-ad36-4045-9aea-ef0d01a9e395; 84e8c110-bbba-41be-85ef-9165c376d746</x:v>
      </x:c>
      <x:c r="L2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v>
      </x:c>
    </x:row>
    <x:row r="25" ht="48" customHeight="1">
      <x:c r="A25" s="21" t="str">
        <x:v>Бард</x:v>
      </x:c>
      <x:c r="B25" s="21" t="str">
        <x:v>CLASS-bard</x:v>
      </x:c>
      <x:c r="C25" s="21" t="str">
        <x:v>be96272c-8585-438d-ac32-b2788f1b1741</x:v>
      </x:c>
      <x:c r="D25" s="21" t="n">
        <x:v>1</x:v>
      </x:c>
      <x:c r="E25" s="21" t="str">
        <x:v>Resource</x:v>
      </x:c>
      <x:c r="F25" s="21" t="str">
        <x:v>spell_slot_1</x:v>
      </x:c>
      <x:c r="G25" s="21" t="str"/>
      <x:c r="H25" s="21" t="str">
        <x:v>{"by_level":{"1":2,"2":3,"3":4},"per":"long_rest"}</x:v>
      </x:c>
      <x:c r="I25" s="21" t="str">
        <x:v>verified_partial</x:v>
      </x:c>
      <x:c r="J25" s="21" t="str">
        <x:v>Passed</x:v>
      </x:c>
      <x:c r="K25" s="21" t="str">
        <x:v>100eb271-ad36-4045-9aea-ef0d01a9e395</x:v>
      </x:c>
      <x:c r="L2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6" ht="48" customHeight="1">
      <x:c r="A26" s="21" t="str">
        <x:v>Бард</x:v>
      </x:c>
      <x:c r="B26" s="21" t="str">
        <x:v>CLASS-bard</x:v>
      </x:c>
      <x:c r="C26" s="21" t="str">
        <x:v>be96272c-8585-438d-ac32-b2788f1b1741</x:v>
      </x:c>
      <x:c r="D26" s="21" t="n">
        <x:v>3</x:v>
      </x:c>
      <x:c r="E26" s="21" t="str">
        <x:v>Resource</x:v>
      </x:c>
      <x:c r="F26" s="21" t="str">
        <x:v>spell_slot_2</x:v>
      </x:c>
      <x:c r="G26" s="21" t="str"/>
      <x:c r="H26" s="21" t="str">
        <x:v>{"by_level":{"3":2,"4":3},"per":"long_rest"}</x:v>
      </x:c>
      <x:c r="I26" s="21" t="str">
        <x:v>verified_partial</x:v>
      </x:c>
      <x:c r="J26" s="21" t="str">
        <x:v>Not tested</x:v>
      </x:c>
      <x:c r="K26" s="21" t="str"/>
      <x:c r="L26" s="21" t="str">
        <x:v>Checklist inventory correction: spell_slot_2 first becomes available at class level 3; it is not part of the level-1 mini-MVP gate. Its Not tested status is intentionally preserved for the later-level phase.</x:v>
      </x:c>
    </x:row>
    <x:row r="27" ht="48" customHeight="1">
      <x:c r="A27" s="21" t="str">
        <x:v>Бард</x:v>
      </x:c>
      <x:c r="B27" s="21" t="str">
        <x:v>CLASS-bard</x:v>
      </x:c>
      <x:c r="C27" s="21" t="str">
        <x:v>be96272c-8585-438d-ac32-b2788f1b1741</x:v>
      </x:c>
      <x:c r="D27" s="21" t="n">
        <x:v>5</x:v>
      </x:c>
      <x:c r="E27" s="21" t="str">
        <x:v>Resource</x:v>
      </x:c>
      <x:c r="F27" s="21" t="str">
        <x:v>spell_slot_3</x:v>
      </x:c>
      <x:c r="G27" s="21" t="str"/>
      <x:c r="H27" s="21" t="str">
        <x:v>{"by_level":{"5":2,"6":3},"per":"long_rest"}</x:v>
      </x:c>
      <x:c r="I27" s="21" t="str">
        <x:v>verified_partial</x:v>
      </x:c>
      <x:c r="J27" s="21" t="str">
        <x:v>Not tested</x:v>
      </x:c>
      <x:c r="K27" s="21" t="str"/>
      <x:c r="L27" s="21" t="str">
        <x:v>Checklist inventory correction: spell_slot_3 first becomes available at class level 5; it is not part of the level-1 mini-MVP gate. Its Not tested status is intentionally preserved for the later-level phase.</x:v>
      </x:c>
    </x:row>
    <x:row r="28" ht="48" customHeight="1">
      <x:c r="A28" s="21" t="str">
        <x:v>Бард</x:v>
      </x:c>
      <x:c r="B28" s="21" t="str">
        <x:v>CLASS-bard</x:v>
      </x:c>
      <x:c r="C28" s="21" t="str">
        <x:v>be96272c-8585-438d-ac32-b2788f1b1741</x:v>
      </x:c>
      <x:c r="D28" s="21" t="n">
        <x:v>7</x:v>
      </x:c>
      <x:c r="E28" s="21" t="str">
        <x:v>Resource</x:v>
      </x:c>
      <x:c r="F28" s="21" t="str">
        <x:v>spell_slot_4</x:v>
      </x:c>
      <x:c r="G28" s="21" t="str"/>
      <x:c r="H28" s="21" t="str">
        <x:v>{"by_level":{"7":1,"8":2,"9":3},"per":"long_rest"}</x:v>
      </x:c>
      <x:c r="I28" s="21" t="str">
        <x:v>verified_partial</x:v>
      </x:c>
      <x:c r="J28" s="21" t="str">
        <x:v>Not tested</x:v>
      </x:c>
      <x:c r="K28" s="21" t="str"/>
      <x:c r="L28" s="21" t="str">
        <x:v>Checklist inventory correction: spell_slot_4 first becomes available at class level 7; it is not part of the level-1 mini-MVP gate. Its Not tested status is intentionally preserved for the later-level phase.</x:v>
      </x:c>
    </x:row>
    <x:row r="29" ht="48" customHeight="1">
      <x:c r="A29" s="21" t="str">
        <x:v>Бард</x:v>
      </x:c>
      <x:c r="B29" s="21" t="str">
        <x:v>CLASS-bard</x:v>
      </x:c>
      <x:c r="C29" s="21" t="str">
        <x:v>be96272c-8585-438d-ac32-b2788f1b1741</x:v>
      </x:c>
      <x:c r="D29" s="21" t="n">
        <x:v>9</x:v>
      </x:c>
      <x:c r="E29" s="21" t="str">
        <x:v>Resource</x:v>
      </x:c>
      <x:c r="F29" s="21" t="str">
        <x:v>spell_slot_5</x:v>
      </x:c>
      <x:c r="G29" s="21" t="str"/>
      <x:c r="H29" s="21" t="str">
        <x:v>{"by_level":{"9":1,"10":2,"18":3},"per":"long_rest"}</x:v>
      </x:c>
      <x:c r="I29" s="21" t="str">
        <x:v>verified_partial</x:v>
      </x:c>
      <x:c r="J29" s="21" t="str">
        <x:v>Not tested</x:v>
      </x:c>
      <x:c r="K29" s="21" t="str"/>
      <x:c r="L29" s="21" t="str">
        <x:v>Checklist inventory correction: spell_slot_5 first becomes available at class level 9; it is not part of the level-1 mini-MVP gate. Its Not tested status is intentionally preserved for the later-level phase.</x:v>
      </x:c>
    </x:row>
    <x:row r="30" ht="48" customHeight="1">
      <x:c r="A30" s="21" t="str">
        <x:v>Бард</x:v>
      </x:c>
      <x:c r="B30" s="21" t="str">
        <x:v>CLASS-bard</x:v>
      </x:c>
      <x:c r="C30" s="21" t="str">
        <x:v>be96272c-8585-438d-ac32-b2788f1b1741</x:v>
      </x:c>
      <x:c r="D30" s="21" t="n">
        <x:v>11</x:v>
      </x:c>
      <x:c r="E30" s="21" t="str">
        <x:v>Resource</x:v>
      </x:c>
      <x:c r="F30" s="21" t="str">
        <x:v>spell_slot_6</x:v>
      </x:c>
      <x:c r="G30" s="21" t="str"/>
      <x:c r="H30" s="21" t="str">
        <x:v>{"by_level":{"11":1,"19":2},"per":"long_rest"}</x:v>
      </x:c>
      <x:c r="I30" s="21" t="str">
        <x:v>verified_partial</x:v>
      </x:c>
      <x:c r="J30" s="21" t="str">
        <x:v>Not tested</x:v>
      </x:c>
      <x:c r="K30" s="21" t="str"/>
      <x:c r="L30" s="21" t="str">
        <x:v>Checklist inventory correction: spell_slot_6 first becomes available at class level 11; it is not part of the level-1 mini-MVP gate. Its Not tested status is intentionally preserved for the later-level phase.</x:v>
      </x:c>
    </x:row>
    <x:row r="31" ht="48" customHeight="1">
      <x:c r="A31" s="21" t="str">
        <x:v>Бард</x:v>
      </x:c>
      <x:c r="B31" s="21" t="str">
        <x:v>CLASS-bard</x:v>
      </x:c>
      <x:c r="C31" s="21" t="str">
        <x:v>be96272c-8585-438d-ac32-b2788f1b1741</x:v>
      </x:c>
      <x:c r="D31" s="21" t="n">
        <x:v>13</x:v>
      </x:c>
      <x:c r="E31" s="21" t="str">
        <x:v>Resource</x:v>
      </x:c>
      <x:c r="F31" s="21" t="str">
        <x:v>spell_slot_7</x:v>
      </x:c>
      <x:c r="G31" s="21" t="str"/>
      <x:c r="H31" s="21" t="str">
        <x:v>{"by_level":{"13":1,"20":2},"per":"long_rest"}</x:v>
      </x:c>
      <x:c r="I31" s="21" t="str">
        <x:v>verified_partial</x:v>
      </x:c>
      <x:c r="J31" s="21" t="str">
        <x:v>Not tested</x:v>
      </x:c>
      <x:c r="K31" s="21" t="str"/>
      <x:c r="L31" s="21" t="str">
        <x:v>Checklist inventory correction: spell_slot_7 first becomes available at class level 13; it is not part of the level-1 mini-MVP gate. Its Not tested status is intentionally preserved for the later-level phase.</x:v>
      </x:c>
    </x:row>
    <x:row r="32" ht="48" customHeight="1">
      <x:c r="A32" s="21" t="str">
        <x:v>Бард</x:v>
      </x:c>
      <x:c r="B32" s="21" t="str">
        <x:v>CLASS-bard</x:v>
      </x:c>
      <x:c r="C32" s="21" t="str">
        <x:v>be96272c-8585-438d-ac32-b2788f1b1741</x:v>
      </x:c>
      <x:c r="D32" s="21" t="n">
        <x:v>15</x:v>
      </x:c>
      <x:c r="E32" s="21" t="str">
        <x:v>Resource</x:v>
      </x:c>
      <x:c r="F32" s="21" t="str">
        <x:v>spell_slot_8</x:v>
      </x:c>
      <x:c r="G32" s="21" t="str"/>
      <x:c r="H32" s="21" t="str">
        <x:v>{"by_level":{"15":1},"per":"long_rest"}</x:v>
      </x:c>
      <x:c r="I32" s="21" t="str">
        <x:v>verified_partial</x:v>
      </x:c>
      <x:c r="J32" s="21" t="str">
        <x:v>Not tested</x:v>
      </x:c>
      <x:c r="K32" s="21" t="str"/>
      <x:c r="L32" s="21" t="str">
        <x:v>Checklist inventory correction: spell_slot_8 first becomes available at class level 15; it is not part of the level-1 mini-MVP gate. Its Not tested status is intentionally preserved for the later-level phase.</x:v>
      </x:c>
    </x:row>
    <x:row r="33" ht="48" customHeight="1">
      <x:c r="A33" s="21" t="str">
        <x:v>Бард</x:v>
      </x:c>
      <x:c r="B33" s="21" t="str">
        <x:v>CLASS-bard</x:v>
      </x:c>
      <x:c r="C33" s="21" t="str">
        <x:v>be96272c-8585-438d-ac32-b2788f1b1741</x:v>
      </x:c>
      <x:c r="D33" s="21" t="n">
        <x:v>17</x:v>
      </x:c>
      <x:c r="E33" s="21" t="str">
        <x:v>Resource</x:v>
      </x:c>
      <x:c r="F33" s="21" t="str">
        <x:v>spell_slot_9</x:v>
      </x:c>
      <x:c r="G33" s="21" t="str"/>
      <x:c r="H33" s="21" t="str">
        <x:v>{"by_level":{"17":1},"per":"long_rest"}</x:v>
      </x:c>
      <x:c r="I33" s="21" t="str">
        <x:v>verified_partial</x:v>
      </x:c>
      <x:c r="J33" s="21" t="str">
        <x:v>Not tested</x:v>
      </x:c>
      <x:c r="K33" s="21" t="str"/>
      <x:c r="L33" s="21" t="str">
        <x:v>Checklist inventory correction: spell_slot_9 first becomes available at class level 17; it is not part of the level-1 mini-MVP gate. Its Not tested status is intentionally preserved for the later-level phase.</x:v>
      </x:c>
    </x:row>
    <x:row r="34" ht="48" customHeight="1">
      <x:c r="A34" s="21" t="str">
        <x:v>Бард</x:v>
      </x:c>
      <x:c r="B34" s="21" t="str">
        <x:v>CLASS-bard</x:v>
      </x:c>
      <x:c r="C34" s="21" t="str">
        <x:v>be96272c-8585-438d-ac32-b2788f1b1741</x:v>
      </x:c>
      <x:c r="D34" s="21" t="n">
        <x:v>1</x:v>
      </x:c>
      <x:c r="E34" s="21" t="str">
        <x:v>Action</x:v>
      </x:c>
      <x:c r="F34" s="21" t="str">
        <x:v>Вдохновение барда</x:v>
      </x:c>
      <x:c r="G34" s="21" t="str">
        <x:v>ACT-bardic-inspiration · 507a13bf-ca6a-4d14-89e4-21016293e0a7</x:v>
      </x:c>
      <x:c r="H34" s="21" t="str">
        <x:v>Кость вдохновения союзнику (БМ/длинный отдых). | Activation: active; cost bonus_action, 1× bardic_inspiration | Targeting: {"actor_targets":true,"allowed_relations":["ally"],"domain":"actor","max_targets":1,"min_targets":1,"range_ft":60,"requires_line_of_sight":true,"shape":"single"} | Effects: [{"resolution":"auto","result":[{"description":"Союзник в 60 фт получает кость вдохновения (d6) для одного d20 броска в течение 1 часа.","kind":"narrative"}]}]</x:v>
      </x:c>
      <x:c r="I34" s="21" t="str">
        <x:v>verified_mechanical</x:v>
      </x:c>
      <x:c r="J34" s="21" t="str">
        <x:v>Passed</x:v>
      </x:c>
      <x:c r="K34" s="21" t="str">
        <x:v>100eb271-ad36-4045-9aea-ef0d01a9e395; 356f2df5-2593-4b3d-a249-ebe72cbc42a5; 84e8c110-bbba-41be-85ef-9165c376d746</x:v>
      </x:c>
      <x:c r="L3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v>
      </x:c>
    </x:row>
    <x:row r="35" ht="48" customHeight="1">
      <x:c r="A35" s="21" t="str">
        <x:v>Бард</x:v>
      </x:c>
      <x:c r="B35" s="21" t="str">
        <x:v>CLASS-bard</x:v>
      </x:c>
      <x:c r="C35" s="21" t="str">
        <x:v>be96272c-8585-438d-ac32-b2788f1b1741</x:v>
      </x:c>
      <x:c r="D35" s="21" t="n">
        <x:v>1</x:v>
      </x:c>
      <x:c r="E35" s="21" t="str">
        <x:v>Effect</x:v>
      </x:c>
      <x:c r="F35" s="21" t="str">
        <x:v>Использование заклинаний (бард)</x:v>
      </x:c>
      <x:c r="G35" s="21" t="str">
        <x:v>EFF-bard-spellcasting · 1ea222f0-2d5b-47a3-91b2-3f683af5d007</x:v>
      </x:c>
      <x:c r="H35" s="21" t="str">
        <x:v>Заговоры и подготовленные заклинания. | Activation: passive | Effects: [{"resolution":"auto","result":[{"ability":"cha","kind":"spellcasting_ability","role":"primary"},{"description":"Подготовка заклинаний барда. ХАР — характеристика заклинаний.","kind":"narrative"}]},{"count":2,"grant":{"kind":"grant_spell","label":"cantrip"},"id":"bard_cantrips","kind":"choice","options":{"filter":{"classes":["бард"],"levels":[0]},"source":"spell"},"prompt":"Выберите 2 заговора барда","resolution":"on_acquire"},{"count":4,"grant":{"kind":"grant_spell","label":"prepared"},"id":"bard_spells_l1","kind…</x:v>
      </x:c>
      <x:c r="I35" s="21" t="str">
        <x:v>verified_mechanical</x:v>
      </x:c>
      <x:c r="J35" s="21" t="str">
        <x:v>Passed</x:v>
      </x:c>
      <x:c r="K35" s="21" t="str">
        <x:v>100eb271-ad36-4045-9aea-ef0d01a9e395</x:v>
      </x:c>
      <x:c r="L3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36" ht="48" customHeight="1">
      <x:c r="A36" s="21" t="str">
        <x:v>Бард</x:v>
      </x:c>
      <x:c r="B36" s="21" t="str">
        <x:v>CLASS-bard</x:v>
      </x:c>
      <x:c r="C36" s="21" t="str">
        <x:v>be96272c-8585-438d-ac32-b2788f1b1741</x:v>
      </x:c>
      <x:c r="D36" s="21" t="n">
        <x:v>1</x:v>
      </x:c>
      <x:c r="E36" s="21" t="str">
        <x:v>Effect</x:v>
      </x:c>
      <x:c r="F36" s="21" t="str">
        <x:v>Кость Вдохновения барда: d6</x:v>
      </x:c>
      <x:c r="G36" s="21" t="str">
        <x:v>VAR-bardic-inspiration-die-1 · 2f38d877-e61c-4a0a-af1a-b20fd70f1ca0</x:v>
      </x:c>
      <x:c r="H36" s="21" t="str">
        <x:v>Ваша переменная «Кость Вдохновения барда» становится d6 (с 1 уровня). | Activation: passive | Effects: [{"resolution":"auto","result":[{"id":"bardic_inspiration_die","kind":"variable","op":"set","value":"1d6"}]}]</x:v>
      </x:c>
      <x:c r="I36" s="21" t="str">
        <x:v>verified_mechanical</x:v>
      </x:c>
      <x:c r="J36" s="21" t="str">
        <x:v>Passed</x:v>
      </x:c>
      <x:c r="K36" s="21" t="str">
        <x:v>100eb271-ad36-4045-9aea-ef0d01a9e395; 84e8c110-bbba-41be-85ef-9165c376d746</x:v>
      </x:c>
      <x:c r="L3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POLISH PASS — production a79f20b27d6bbc67f0cfd016344ff7ac46ea319d. Sheet/combat/clarity: Bardic Inspiration spends exactly one Bonus Action and one charge, grants the ally a real library effect with image/source/duration, and exposes before-roll and allowed after-failure choices. The d6 is consumed by the eligible roll and the effect disappears. The ally mini-sheet shows an icon; clicking it opens a card that explains the die and timing. Character ID(s): 100eb271-ad36-4045-9aea-ef0d01a9e395; 84e8c110-bbba-41be-85ef-9165c376d746.</x:v>
      </x:c>
    </x:row>
    <x:row r="37" ht="48" customHeight="1">
      <x:c r="A37" s="21" t="str">
        <x:v>Бард</x:v>
      </x:c>
      <x:c r="B37" s="21" t="str">
        <x:v>CLASS-bard</x:v>
      </x:c>
      <x:c r="C37" s="21" t="str">
        <x:v>be96272c-8585-438d-ac32-b2788f1b1741</x:v>
      </x:c>
      <x:c r="D37" s="21" t="n">
        <x:v>2</x:v>
      </x:c>
      <x:c r="E37" s="21" t="str">
        <x:v>Effect</x:v>
      </x:c>
      <x:c r="F37" s="21" t="str">
        <x:v>Экспертиза (бард)</x:v>
      </x:c>
      <x:c r="G37" s="21" t="str">
        <x:v>EFF-bard-expertise · addf4c8b-d99f-4a30-ad16-a1c5e5ecaf0d</x:v>
      </x:c>
      <x:c r="H37" s="21" t="str">
        <x:v>Удвоенный бонус мастерства в двух навыках. | Activation: passive | Effects: [{"count":2,"grant":{"expert":true,"kind":"grant_proficiency","prof":"skill"},"id":"bard_expertise_l2","kind":"choice","options":{"filter":"proficient","source":"skill"},"prompt":"Выберите 2 навыка для экспертизы","resolution":"on_acquire"}]</x:v>
      </x:c>
      <x:c r="I37" s="21" t="str">
        <x:v>verified_mechanical</x:v>
      </x:c>
      <x:c r="J37" s="21" t="str">
        <x:v>Not tested</x:v>
      </x:c>
      <x:c r="K37" s="21" t="str"/>
      <x:c r="L37" s="21" t="str"/>
    </x:row>
    <x:row r="38" ht="48" customHeight="1">
      <x:c r="A38" s="21" t="str">
        <x:v>Бард</x:v>
      </x:c>
      <x:c r="B38" s="21" t="str">
        <x:v>CLASS-bard</x:v>
      </x:c>
      <x:c r="C38" s="21" t="str">
        <x:v>be96272c-8585-438d-ac32-b2788f1b1741</x:v>
      </x:c>
      <x:c r="D38" s="21" t="n">
        <x:v>2</x:v>
      </x:c>
      <x:c r="E38" s="21" t="str">
        <x:v>Effect</x:v>
      </x:c>
      <x:c r="F38" s="21" t="str">
        <x:v>Мастер на все руки</x:v>
      </x:c>
      <x:c r="G38" s="21" t="str">
        <x:v>EFF-jack-of-all-trades · 59545825-2b46-452a-9779-267aea106a8a</x:v>
      </x:c>
      <x:c r="H38" s="21" t="str">
        <x:v>Половина БМ к проверкам без владения. | Activation: passive | Effects: [{"resolution":"auto","result":[{"description":"Добавляйте половину бонуса мастерства (округляя вниз) к проверкам без владения.","kind":"narrative"}]}]</x:v>
      </x:c>
      <x:c r="I38" s="21" t="str">
        <x:v>verified_mechanical</x:v>
      </x:c>
      <x:c r="J38" s="21" t="str">
        <x:v>Not tested</x:v>
      </x:c>
      <x:c r="K38" s="21" t="str"/>
      <x:c r="L38" s="21" t="str"/>
    </x:row>
    <x:row r="39" ht="48" customHeight="1">
      <x:c r="A39" s="21" t="str">
        <x:v>Бард</x:v>
      </x:c>
      <x:c r="B39" s="21" t="str">
        <x:v>CLASS-bard</x:v>
      </x:c>
      <x:c r="C39" s="21" t="str">
        <x:v>be96272c-8585-438d-ac32-b2788f1b1741</x:v>
      </x:c>
      <x:c r="D39" s="21" t="n">
        <x:v>2</x:v>
      </x:c>
      <x:c r="E39" s="21" t="str">
        <x:v>Effect</x:v>
      </x:c>
      <x:c r="F39" s="21" t="str">
        <x:v>Заклинания (бард)</x:v>
      </x:c>
      <x:c r="G39" s="21" t="str">
        <x:v>caster-bard-spells · 65732c06-38ff-417a-a045-f2dcc3ed4031</x:v>
      </x:c>
      <x:c r="H39"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39" s="21" t="str">
        <x:v>verified_mechanical</x:v>
      </x:c>
      <x:c r="J39" s="21" t="str">
        <x:v>Not tested</x:v>
      </x:c>
      <x:c r="K39" s="21" t="str"/>
      <x:c r="L39" s="21" t="str"/>
    </x:row>
    <x:row r="40" ht="48" customHeight="1">
      <x:c r="A40" s="21" t="str">
        <x:v>Бард</x:v>
      </x:c>
      <x:c r="B40" s="21" t="str">
        <x:v>CLASS-bard</x:v>
      </x:c>
      <x:c r="C40" s="21" t="str">
        <x:v>be96272c-8585-438d-ac32-b2788f1b1741</x:v>
      </x:c>
      <x:c r="D40" s="21" t="n">
        <x:v>3</x:v>
      </x:c>
      <x:c r="E40" s="21" t="str">
        <x:v>Effect</x:v>
      </x:c>
      <x:c r="F40" s="21" t="str">
        <x:v>Заклинания (бард)</x:v>
      </x:c>
      <x:c r="G40" s="21" t="str">
        <x:v>caster-bard-spells · 65732c06-38ff-417a-a045-f2dcc3ed4031</x:v>
      </x:c>
      <x:c r="H40"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0" s="21" t="str">
        <x:v>verified_mechanical</x:v>
      </x:c>
      <x:c r="J40" s="21" t="str">
        <x:v>Not tested</x:v>
      </x:c>
      <x:c r="K40" s="21" t="str"/>
      <x:c r="L40" s="21" t="str"/>
    </x:row>
    <x:row r="41" ht="48" customHeight="1">
      <x:c r="A41" s="21" t="str">
        <x:v>Бард</x:v>
      </x:c>
      <x:c r="B41" s="21" t="str">
        <x:v>CLASS-bard</x:v>
      </x:c>
      <x:c r="C41" s="21" t="str">
        <x:v>be96272c-8585-438d-ac32-b2788f1b1741</x:v>
      </x:c>
      <x:c r="D41" s="21" t="n">
        <x:v>4</x:v>
      </x:c>
      <x:c r="E41" s="21" t="str">
        <x:v>Effect</x:v>
      </x:c>
      <x:c r="F41" s="21" t="str">
        <x:v>Получение черты</x:v>
      </x:c>
      <x:c r="G41" s="21" t="str">
        <x:v>pf_1 · 5dbd9afb-b125-4038-9d51-54819757c777</x:v>
      </x:c>
      <x:c r="H41"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41" s="21" t="str">
        <x:v>verified_mechanical</x:v>
      </x:c>
      <x:c r="J41" s="21" t="str">
        <x:v>Not tested</x:v>
      </x:c>
      <x:c r="K41" s="21" t="str"/>
      <x:c r="L41" s="21" t="str"/>
    </x:row>
    <x:row r="42" ht="48" customHeight="1">
      <x:c r="A42" s="21" t="str">
        <x:v>Бард</x:v>
      </x:c>
      <x:c r="B42" s="21" t="str">
        <x:v>CLASS-bard</x:v>
      </x:c>
      <x:c r="C42" s="21" t="str">
        <x:v>be96272c-8585-438d-ac32-b2788f1b1741</x:v>
      </x:c>
      <x:c r="D42" s="21" t="n">
        <x:v>4</x:v>
      </x:c>
      <x:c r="E42" s="21" t="str">
        <x:v>Effect</x:v>
      </x:c>
      <x:c r="F42" s="21" t="str">
        <x:v>Заклинания (бард)</x:v>
      </x:c>
      <x:c r="G42" s="21" t="str">
        <x:v>caster-bard-spells · 65732c06-38ff-417a-a045-f2dcc3ed4031</x:v>
      </x:c>
      <x:c r="H42"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2" s="21" t="str">
        <x:v>verified_mechanical</x:v>
      </x:c>
      <x:c r="J42" s="21" t="str">
        <x:v>Not tested</x:v>
      </x:c>
      <x:c r="K42" s="21" t="str"/>
      <x:c r="L42" s="21" t="str"/>
    </x:row>
    <x:row r="43" ht="48" customHeight="1">
      <x:c r="A43" s="21" t="str">
        <x:v>Бард</x:v>
      </x:c>
      <x:c r="B43" s="21" t="str">
        <x:v>CLASS-bard</x:v>
      </x:c>
      <x:c r="C43" s="21" t="str">
        <x:v>be96272c-8585-438d-ac32-b2788f1b1741</x:v>
      </x:c>
      <x:c r="D43" s="21" t="n">
        <x:v>4</x:v>
      </x:c>
      <x:c r="E43" s="21" t="str">
        <x:v>Effect</x:v>
      </x:c>
      <x:c r="F43" s="21" t="str">
        <x:v>Заговоры (бард)</x:v>
      </x:c>
      <x:c r="G43" s="21" t="str">
        <x:v>caster-bard-cantrips · 1bf6d186-9db2-47f2-9190-39cda2797fc2</x:v>
      </x:c>
      <x:c r="H43" s="21" t="str">
        <x:v>Дополнительные заговоры барда. Повторяемый: по одному на прикрепление. | Activation: passive | Effects: [{"resolution":"auto","result":[{"count":1,"grant":{"kind":"grant_spell","label":"cantrip"},"id":"bard_cantrip_growth","kind":"choice","options":{"filter":{"classes":["бард"],"levels":[0]},"source":"spell"},"prompt":"Выберите заговор","resolution":"on_acquire"}]}]</x:v>
      </x:c>
      <x:c r="I43" s="21" t="str">
        <x:v>verified_mechanical</x:v>
      </x:c>
      <x:c r="J43" s="21" t="str">
        <x:v>Not tested</x:v>
      </x:c>
      <x:c r="K43" s="21" t="str"/>
      <x:c r="L43" s="21" t="str"/>
    </x:row>
    <x:row r="44" ht="48" customHeight="1">
      <x:c r="A44" s="21" t="str">
        <x:v>Бард</x:v>
      </x:c>
      <x:c r="B44" s="21" t="str">
        <x:v>CLASS-bard</x:v>
      </x:c>
      <x:c r="C44" s="21" t="str">
        <x:v>be96272c-8585-438d-ac32-b2788f1b1741</x:v>
      </x:c>
      <x:c r="D44" s="21" t="n">
        <x:v>5</x:v>
      </x:c>
      <x:c r="E44" s="21" t="str">
        <x:v>Effect</x:v>
      </x:c>
      <x:c r="F44" s="21" t="str">
        <x:v>Кость Вдохновения барда: d8</x:v>
      </x:c>
      <x:c r="G44" s="21" t="str">
        <x:v>VAR-bardic-inspiration-die-5 · 905020f3-9b28-483b-887a-859f86f65e98</x:v>
      </x:c>
      <x:c r="H44" s="21" t="str">
        <x:v>Ваша переменная «Кость Вдохновения барда» становится d8 (с 5 уровня). | Activation: passive | Effects: [{"resolution":"auto","result":[{"id":"bardic_inspiration_die","kind":"variable","op":"set","value":"1d8"}]}]</x:v>
      </x:c>
      <x:c r="I44" s="21" t="str">
        <x:v>verified_mechanical</x:v>
      </x:c>
      <x:c r="J44" s="21" t="str">
        <x:v>Not tested</x:v>
      </x:c>
      <x:c r="K44" s="21" t="str"/>
      <x:c r="L44" s="21" t="str"/>
    </x:row>
    <x:row r="45" ht="48" customHeight="1">
      <x:c r="A45" s="21" t="str">
        <x:v>Бард</x:v>
      </x:c>
      <x:c r="B45" s="21" t="str">
        <x:v>CLASS-bard</x:v>
      </x:c>
      <x:c r="C45" s="21" t="str">
        <x:v>be96272c-8585-438d-ac32-b2788f1b1741</x:v>
      </x:c>
      <x:c r="D45" s="21" t="n">
        <x:v>5</x:v>
      </x:c>
      <x:c r="E45" s="21" t="str">
        <x:v>Effect</x:v>
      </x:c>
      <x:c r="F45" s="21" t="str">
        <x:v>Заклинания (бард)</x:v>
      </x:c>
      <x:c r="G45" s="21" t="str">
        <x:v>caster-bard-spells · 65732c06-38ff-417a-a045-f2dcc3ed4031</x:v>
      </x:c>
      <x:c r="H45"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5" s="21" t="str">
        <x:v>verified_mechanical</x:v>
      </x:c>
      <x:c r="J45" s="21" t="str">
        <x:v>Not tested</x:v>
      </x:c>
      <x:c r="K45" s="21" t="str"/>
      <x:c r="L45" s="21" t="str"/>
    </x:row>
    <x:row r="46" ht="48" customHeight="1">
      <x:c r="A46" s="21" t="str">
        <x:v>Бард</x:v>
      </x:c>
      <x:c r="B46" s="21" t="str">
        <x:v>CLASS-bard</x:v>
      </x:c>
      <x:c r="C46" s="21" t="str">
        <x:v>be96272c-8585-438d-ac32-b2788f1b1741</x:v>
      </x:c>
      <x:c r="D46" s="21" t="n">
        <x:v>6</x:v>
      </x:c>
      <x:c r="E46" s="21" t="str">
        <x:v>Effect</x:v>
      </x:c>
      <x:c r="F46" s="21" t="str">
        <x:v>Заклинания (бард)</x:v>
      </x:c>
      <x:c r="G46" s="21" t="str">
        <x:v>caster-bard-spells · 65732c06-38ff-417a-a045-f2dcc3ed4031</x:v>
      </x:c>
      <x:c r="H46"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6" s="21" t="str">
        <x:v>verified_mechanical</x:v>
      </x:c>
      <x:c r="J46" s="21" t="str">
        <x:v>Not tested</x:v>
      </x:c>
      <x:c r="K46" s="21" t="str"/>
      <x:c r="L46" s="21" t="str"/>
    </x:row>
    <x:row r="47" ht="48" customHeight="1">
      <x:c r="A47" s="21" t="str">
        <x:v>Бард</x:v>
      </x:c>
      <x:c r="B47" s="21" t="str">
        <x:v>CLASS-bard</x:v>
      </x:c>
      <x:c r="C47" s="21" t="str">
        <x:v>be96272c-8585-438d-ac32-b2788f1b1741</x:v>
      </x:c>
      <x:c r="D47" s="21" t="n">
        <x:v>7</x:v>
      </x:c>
      <x:c r="E47" s="21" t="str">
        <x:v>Effect</x:v>
      </x:c>
      <x:c r="F47" s="21" t="str">
        <x:v>Заклинания (бард)</x:v>
      </x:c>
      <x:c r="G47" s="21" t="str">
        <x:v>caster-bard-spells · 65732c06-38ff-417a-a045-f2dcc3ed4031</x:v>
      </x:c>
      <x:c r="H47"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7" s="21" t="str">
        <x:v>verified_mechanical</x:v>
      </x:c>
      <x:c r="J47" s="21" t="str">
        <x:v>Not tested</x:v>
      </x:c>
      <x:c r="K47" s="21" t="str"/>
      <x:c r="L47" s="21" t="str"/>
    </x:row>
    <x:row r="48" ht="48" customHeight="1">
      <x:c r="A48" s="21" t="str">
        <x:v>Бард</x:v>
      </x:c>
      <x:c r="B48" s="21" t="str">
        <x:v>CLASS-bard</x:v>
      </x:c>
      <x:c r="C48" s="21" t="str">
        <x:v>be96272c-8585-438d-ac32-b2788f1b1741</x:v>
      </x:c>
      <x:c r="D48" s="21" t="n">
        <x:v>8</x:v>
      </x:c>
      <x:c r="E48" s="21" t="str">
        <x:v>Effect</x:v>
      </x:c>
      <x:c r="F48" s="21" t="str">
        <x:v>Получение черты · слот 2</x:v>
      </x:c>
      <x:c r="G48" s="21" t="str">
        <x:v>pf_2 · 55689cd6-f67f-4368-8a96-53bc134fd78b</x:v>
      </x:c>
      <x:c r="H48" s="21" t="str">
        <x:v>Получение черты · слот 2 | Activation: passive | Effects: [{"grant":{"kind":"grant_feat"},"id":"gain_feat","kind":"choice","options":{"categories":["origin","general"],"source":"feat"},"prompt":"Получение черты"}]</x:v>
      </x:c>
      <x:c r="I48" s="21" t="str">
        <x:v>verified_mechanical</x:v>
      </x:c>
      <x:c r="J48" s="21" t="str">
        <x:v>Not tested</x:v>
      </x:c>
      <x:c r="K48" s="21" t="str"/>
      <x:c r="L48" s="21" t="str"/>
    </x:row>
    <x:row r="49" ht="48" customHeight="1">
      <x:c r="A49" s="21" t="str">
        <x:v>Бард</x:v>
      </x:c>
      <x:c r="B49" s="21" t="str">
        <x:v>CLASS-bard</x:v>
      </x:c>
      <x:c r="C49" s="21" t="str">
        <x:v>be96272c-8585-438d-ac32-b2788f1b1741</x:v>
      </x:c>
      <x:c r="D49" s="21" t="n">
        <x:v>8</x:v>
      </x:c>
      <x:c r="E49" s="21" t="str">
        <x:v>Effect</x:v>
      </x:c>
      <x:c r="F49" s="21" t="str">
        <x:v>Заклинания (бард)</x:v>
      </x:c>
      <x:c r="G49" s="21" t="str">
        <x:v>caster-bard-spells · 65732c06-38ff-417a-a045-f2dcc3ed4031</x:v>
      </x:c>
      <x:c r="H49"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49" s="21" t="str">
        <x:v>verified_mechanical</x:v>
      </x:c>
      <x:c r="J49" s="21" t="str">
        <x:v>Not tested</x:v>
      </x:c>
      <x:c r="K49" s="21" t="str"/>
      <x:c r="L49" s="21" t="str"/>
    </x:row>
    <x:row r="50" ht="48" customHeight="1">
      <x:c r="A50" s="21" t="str">
        <x:v>Бард</x:v>
      </x:c>
      <x:c r="B50" s="21" t="str">
        <x:v>CLASS-bard</x:v>
      </x:c>
      <x:c r="C50" s="21" t="str">
        <x:v>be96272c-8585-438d-ac32-b2788f1b1741</x:v>
      </x:c>
      <x:c r="D50" s="21" t="n">
        <x:v>9</x:v>
      </x:c>
      <x:c r="E50" s="21" t="str">
        <x:v>Effect</x:v>
      </x:c>
      <x:c r="F50" s="21" t="str">
        <x:v>Заклинания (бард)</x:v>
      </x:c>
      <x:c r="G50" s="21" t="str">
        <x:v>caster-bard-spells · 65732c06-38ff-417a-a045-f2dcc3ed4031</x:v>
      </x:c>
      <x:c r="H50"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0" s="21" t="str">
        <x:v>verified_mechanical</x:v>
      </x:c>
      <x:c r="J50" s="21" t="str">
        <x:v>Not tested</x:v>
      </x:c>
      <x:c r="K50" s="21" t="str"/>
      <x:c r="L50" s="21" t="str"/>
    </x:row>
    <x:row r="51" ht="48" customHeight="1">
      <x:c r="A51" s="21" t="str">
        <x:v>Бард</x:v>
      </x:c>
      <x:c r="B51" s="21" t="str">
        <x:v>CLASS-bard</x:v>
      </x:c>
      <x:c r="C51" s="21" t="str">
        <x:v>be96272c-8585-438d-ac32-b2788f1b1741</x:v>
      </x:c>
      <x:c r="D51" s="21" t="n">
        <x:v>10</x:v>
      </x:c>
      <x:c r="E51" s="21" t="str">
        <x:v>Effect</x:v>
      </x:c>
      <x:c r="F51" s="21" t="str">
        <x:v>Кость Вдохновения барда: d10</x:v>
      </x:c>
      <x:c r="G51" s="21" t="str">
        <x:v>VAR-bardic-inspiration-die-10 · 21e45630-6fa4-4302-9a86-552da3d3f2ff</x:v>
      </x:c>
      <x:c r="H51" s="21" t="str">
        <x:v>Ваша переменная «Кость Вдохновения барда» становится d10 (с 10 уровня). | Activation: passive | Effects: [{"resolution":"auto","result":[{"id":"bardic_inspiration_die","kind":"variable","op":"set","value":"1d10"}]}]</x:v>
      </x:c>
      <x:c r="I51" s="21" t="str">
        <x:v>verified_mechanical</x:v>
      </x:c>
      <x:c r="J51" s="21" t="str">
        <x:v>Not tested</x:v>
      </x:c>
      <x:c r="K51" s="21" t="str"/>
      <x:c r="L51" s="21" t="str"/>
    </x:row>
    <x:row r="52" ht="48" customHeight="1">
      <x:c r="A52" s="21" t="str">
        <x:v>Бард</x:v>
      </x:c>
      <x:c r="B52" s="21" t="str">
        <x:v>CLASS-bard</x:v>
      </x:c>
      <x:c r="C52" s="21" t="str">
        <x:v>be96272c-8585-438d-ac32-b2788f1b1741</x:v>
      </x:c>
      <x:c r="D52" s="21" t="n">
        <x:v>10</x:v>
      </x:c>
      <x:c r="E52" s="21" t="str">
        <x:v>Effect</x:v>
      </x:c>
      <x:c r="F52" s="21" t="str">
        <x:v>Заклинания (бард)</x:v>
      </x:c>
      <x:c r="G52" s="21" t="str">
        <x:v>caster-bard-spells · 65732c06-38ff-417a-a045-f2dcc3ed4031</x:v>
      </x:c>
      <x:c r="H52"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2" s="21" t="str">
        <x:v>verified_mechanical</x:v>
      </x:c>
      <x:c r="J52" s="21" t="str">
        <x:v>Not tested</x:v>
      </x:c>
      <x:c r="K52" s="21" t="str"/>
      <x:c r="L52" s="21" t="str"/>
    </x:row>
    <x:row r="53" ht="48" customHeight="1">
      <x:c r="A53" s="21" t="str">
        <x:v>Бард</x:v>
      </x:c>
      <x:c r="B53" s="21" t="str">
        <x:v>CLASS-bard</x:v>
      </x:c>
      <x:c r="C53" s="21" t="str">
        <x:v>be96272c-8585-438d-ac32-b2788f1b1741</x:v>
      </x:c>
      <x:c r="D53" s="21" t="n">
        <x:v>10</x:v>
      </x:c>
      <x:c r="E53" s="21" t="str">
        <x:v>Effect</x:v>
      </x:c>
      <x:c r="F53" s="21" t="str">
        <x:v>Заговоры (бард)</x:v>
      </x:c>
      <x:c r="G53" s="21" t="str">
        <x:v>caster-bard-cantrips · 1bf6d186-9db2-47f2-9190-39cda2797fc2</x:v>
      </x:c>
      <x:c r="H53" s="21" t="str">
        <x:v>Дополнительные заговоры барда. Повторяемый: по одному на прикрепление. | Activation: passive | Effects: [{"resolution":"auto","result":[{"count":1,"grant":{"kind":"grant_spell","label":"cantrip"},"id":"bard_cantrip_growth","kind":"choice","options":{"filter":{"classes":["бард"],"levels":[0]},"source":"spell"},"prompt":"Выберите заговор","resolution":"on_acquire"}]}]</x:v>
      </x:c>
      <x:c r="I53" s="21" t="str">
        <x:v>verified_mechanical</x:v>
      </x:c>
      <x:c r="J53" s="21" t="str">
        <x:v>Not tested</x:v>
      </x:c>
      <x:c r="K53" s="21" t="str"/>
      <x:c r="L53" s="21" t="str"/>
    </x:row>
    <x:row r="54" ht="48" customHeight="1">
      <x:c r="A54" s="21" t="str">
        <x:v>Бард</x:v>
      </x:c>
      <x:c r="B54" s="21" t="str">
        <x:v>CLASS-bard</x:v>
      </x:c>
      <x:c r="C54" s="21" t="str">
        <x:v>be96272c-8585-438d-ac32-b2788f1b1741</x:v>
      </x:c>
      <x:c r="D54" s="21" t="n">
        <x:v>11</x:v>
      </x:c>
      <x:c r="E54" s="21" t="str">
        <x:v>Effect</x:v>
      </x:c>
      <x:c r="F54" s="21" t="str">
        <x:v>Заклинания (бард)</x:v>
      </x:c>
      <x:c r="G54" s="21" t="str">
        <x:v>caster-bard-spells · 65732c06-38ff-417a-a045-f2dcc3ed4031</x:v>
      </x:c>
      <x:c r="H54"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4" s="21" t="str">
        <x:v>verified_mechanical</x:v>
      </x:c>
      <x:c r="J54" s="21" t="str">
        <x:v>Not tested</x:v>
      </x:c>
      <x:c r="K54" s="21" t="str"/>
      <x:c r="L54" s="21" t="str"/>
    </x:row>
    <x:row r="55" ht="48" customHeight="1">
      <x:c r="A55" s="21" t="str">
        <x:v>Бард</x:v>
      </x:c>
      <x:c r="B55" s="21" t="str">
        <x:v>CLASS-bard</x:v>
      </x:c>
      <x:c r="C55" s="21" t="str">
        <x:v>be96272c-8585-438d-ac32-b2788f1b1741</x:v>
      </x:c>
      <x:c r="D55" s="21" t="n">
        <x:v>12</x:v>
      </x:c>
      <x:c r="E55" s="21" t="str">
        <x:v>Effect</x:v>
      </x:c>
      <x:c r="F55" s="21" t="str">
        <x:v>Получение черты · слот 3</x:v>
      </x:c>
      <x:c r="G55" s="21" t="str">
        <x:v>pf_3 · 6ec4b5ab-4abc-47af-b45a-560ca2a1bb07</x:v>
      </x:c>
      <x:c r="H55" s="21" t="str">
        <x:v>Получение черты · слот 3 | Activation: passive | Effects: [{"grant":{"kind":"grant_feat"},"id":"gain_feat","kind":"choice","options":{"categories":["origin","general"],"source":"feat"},"prompt":"Получение черты"}]</x:v>
      </x:c>
      <x:c r="I55" s="21" t="str">
        <x:v>verified_mechanical</x:v>
      </x:c>
      <x:c r="J55" s="21" t="str">
        <x:v>Not tested</x:v>
      </x:c>
      <x:c r="K55" s="21" t="str"/>
      <x:c r="L55" s="21" t="str"/>
    </x:row>
    <x:row r="56" ht="48" customHeight="1">
      <x:c r="A56" s="21" t="str">
        <x:v>Бард</x:v>
      </x:c>
      <x:c r="B56" s="21" t="str">
        <x:v>CLASS-bard</x:v>
      </x:c>
      <x:c r="C56" s="21" t="str">
        <x:v>be96272c-8585-438d-ac32-b2788f1b1741</x:v>
      </x:c>
      <x:c r="D56" s="21" t="n">
        <x:v>12</x:v>
      </x:c>
      <x:c r="E56" s="21" t="str">
        <x:v>Effect</x:v>
      </x:c>
      <x:c r="F56" s="21" t="str">
        <x:v>Заклинания (бард)</x:v>
      </x:c>
      <x:c r="G56" s="21" t="str">
        <x:v>caster-bard-spells · 65732c06-38ff-417a-a045-f2dcc3ed4031</x:v>
      </x:c>
      <x:c r="H56"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6" s="21" t="str">
        <x:v>verified_mechanical</x:v>
      </x:c>
      <x:c r="J56" s="21" t="str">
        <x:v>Not tested</x:v>
      </x:c>
      <x:c r="K56" s="21" t="str"/>
      <x:c r="L56" s="21" t="str"/>
    </x:row>
    <x:row r="57" ht="48" customHeight="1">
      <x:c r="A57" s="21" t="str">
        <x:v>Бард</x:v>
      </x:c>
      <x:c r="B57" s="21" t="str">
        <x:v>CLASS-bard</x:v>
      </x:c>
      <x:c r="C57" s="21" t="str">
        <x:v>be96272c-8585-438d-ac32-b2788f1b1741</x:v>
      </x:c>
      <x:c r="D57" s="21" t="n">
        <x:v>13</x:v>
      </x:c>
      <x:c r="E57" s="21" t="str">
        <x:v>Effect</x:v>
      </x:c>
      <x:c r="F57" s="21" t="str">
        <x:v>Заклинания (бард)</x:v>
      </x:c>
      <x:c r="G57" s="21" t="str">
        <x:v>caster-bard-spells · 65732c06-38ff-417a-a045-f2dcc3ed4031</x:v>
      </x:c>
      <x:c r="H57"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7" s="21" t="str">
        <x:v>verified_mechanical</x:v>
      </x:c>
      <x:c r="J57" s="21" t="str">
        <x:v>Not tested</x:v>
      </x:c>
      <x:c r="K57" s="21" t="str"/>
      <x:c r="L57" s="21" t="str"/>
    </x:row>
    <x:row r="58" ht="48" customHeight="1">
      <x:c r="A58" s="21" t="str">
        <x:v>Бард</x:v>
      </x:c>
      <x:c r="B58" s="21" t="str">
        <x:v>CLASS-bard</x:v>
      </x:c>
      <x:c r="C58" s="21" t="str">
        <x:v>be96272c-8585-438d-ac32-b2788f1b1741</x:v>
      </x:c>
      <x:c r="D58" s="21" t="n">
        <x:v>14</x:v>
      </x:c>
      <x:c r="E58" s="21" t="str">
        <x:v>Effect</x:v>
      </x:c>
      <x:c r="F58" s="21" t="str">
        <x:v>Заклинания (бард)</x:v>
      </x:c>
      <x:c r="G58" s="21" t="str">
        <x:v>caster-bard-spells · 65732c06-38ff-417a-a045-f2dcc3ed4031</x:v>
      </x:c>
      <x:c r="H58"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58" s="21" t="str">
        <x:v>verified_mechanical</x:v>
      </x:c>
      <x:c r="J58" s="21" t="str">
        <x:v>Not tested</x:v>
      </x:c>
      <x:c r="K58" s="21" t="str"/>
      <x:c r="L58" s="21" t="str"/>
    </x:row>
    <x:row r="59" ht="48" customHeight="1">
      <x:c r="A59" s="21" t="str">
        <x:v>Бард</x:v>
      </x:c>
      <x:c r="B59" s="21" t="str">
        <x:v>CLASS-bard</x:v>
      </x:c>
      <x:c r="C59" s="21" t="str">
        <x:v>be96272c-8585-438d-ac32-b2788f1b1741</x:v>
      </x:c>
      <x:c r="D59" s="21" t="n">
        <x:v>15</x:v>
      </x:c>
      <x:c r="E59" s="21" t="str">
        <x:v>Effect</x:v>
      </x:c>
      <x:c r="F59" s="21" t="str">
        <x:v>Кость Вдохновения барда: d12</x:v>
      </x:c>
      <x:c r="G59" s="21" t="str">
        <x:v>VAR-bardic-inspiration-die-15 · 1e09719a-b4b4-4f9b-b10a-e03fa310393a</x:v>
      </x:c>
      <x:c r="H59" s="21" t="str">
        <x:v>Ваша переменная «Кость Вдохновения барда» становится d12 (с 15 уровня). | Activation: passive | Effects: [{"resolution":"auto","result":[{"id":"bardic_inspiration_die","kind":"variable","op":"set","value":"1d12"}]}]</x:v>
      </x:c>
      <x:c r="I59" s="21" t="str">
        <x:v>verified_mechanical</x:v>
      </x:c>
      <x:c r="J59" s="21" t="str">
        <x:v>Not tested</x:v>
      </x:c>
      <x:c r="K59" s="21" t="str"/>
      <x:c r="L59" s="21" t="str"/>
    </x:row>
    <x:row r="60" ht="48" customHeight="1">
      <x:c r="A60" s="21" t="str">
        <x:v>Бард</x:v>
      </x:c>
      <x:c r="B60" s="21" t="str">
        <x:v>CLASS-bard</x:v>
      </x:c>
      <x:c r="C60" s="21" t="str">
        <x:v>be96272c-8585-438d-ac32-b2788f1b1741</x:v>
      </x:c>
      <x:c r="D60" s="21" t="n">
        <x:v>15</x:v>
      </x:c>
      <x:c r="E60" s="21" t="str">
        <x:v>Effect</x:v>
      </x:c>
      <x:c r="F60" s="21" t="str">
        <x:v>Заклинания (бард)</x:v>
      </x:c>
      <x:c r="G60" s="21" t="str">
        <x:v>caster-bard-spells · 65732c06-38ff-417a-a045-f2dcc3ed4031</x:v>
      </x:c>
      <x:c r="H60"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0" s="21" t="str">
        <x:v>verified_mechanical</x:v>
      </x:c>
      <x:c r="J60" s="21" t="str">
        <x:v>Not tested</x:v>
      </x:c>
      <x:c r="K60" s="21" t="str"/>
      <x:c r="L60" s="21" t="str"/>
    </x:row>
    <x:row r="61" ht="48" customHeight="1">
      <x:c r="A61" s="21" t="str">
        <x:v>Бард</x:v>
      </x:c>
      <x:c r="B61" s="21" t="str">
        <x:v>CLASS-bard</x:v>
      </x:c>
      <x:c r="C61" s="21" t="str">
        <x:v>be96272c-8585-438d-ac32-b2788f1b1741</x:v>
      </x:c>
      <x:c r="D61" s="21" t="n">
        <x:v>16</x:v>
      </x:c>
      <x:c r="E61" s="21" t="str">
        <x:v>Effect</x:v>
      </x:c>
      <x:c r="F61" s="21" t="str">
        <x:v>Получение черты · слот 4</x:v>
      </x:c>
      <x:c r="G61" s="21" t="str">
        <x:v>pf_4 · f3a0400f-579f-4a68-8105-cfad1d862357</x:v>
      </x:c>
      <x:c r="H61" s="21" t="str">
        <x:v>Получение черты · слот 4 | Activation: passive | Effects: [{"grant":{"kind":"grant_feat"},"id":"gain_feat","kind":"choice","options":{"categories":["origin","general"],"source":"feat"},"prompt":"Получение черты"}]</x:v>
      </x:c>
      <x:c r="I61" s="21" t="str">
        <x:v>verified_mechanical</x:v>
      </x:c>
      <x:c r="J61" s="21" t="str">
        <x:v>Not tested</x:v>
      </x:c>
      <x:c r="K61" s="21" t="str"/>
      <x:c r="L61" s="21" t="str"/>
    </x:row>
    <x:row r="62" ht="48" customHeight="1">
      <x:c r="A62" s="21" t="str">
        <x:v>Бард</x:v>
      </x:c>
      <x:c r="B62" s="21" t="str">
        <x:v>CLASS-bard</x:v>
      </x:c>
      <x:c r="C62" s="21" t="str">
        <x:v>be96272c-8585-438d-ac32-b2788f1b1741</x:v>
      </x:c>
      <x:c r="D62" s="21" t="n">
        <x:v>16</x:v>
      </x:c>
      <x:c r="E62" s="21" t="str">
        <x:v>Effect</x:v>
      </x:c>
      <x:c r="F62" s="21" t="str">
        <x:v>Заклинания (бард)</x:v>
      </x:c>
      <x:c r="G62" s="21" t="str">
        <x:v>caster-bard-spells · 65732c06-38ff-417a-a045-f2dcc3ed4031</x:v>
      </x:c>
      <x:c r="H62"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2" s="21" t="str">
        <x:v>verified_mechanical</x:v>
      </x:c>
      <x:c r="J62" s="21" t="str">
        <x:v>Not tested</x:v>
      </x:c>
      <x:c r="K62" s="21" t="str"/>
      <x:c r="L62" s="21" t="str"/>
    </x:row>
    <x:row r="63" ht="48" customHeight="1">
      <x:c r="A63" s="21" t="str">
        <x:v>Бард</x:v>
      </x:c>
      <x:c r="B63" s="21" t="str">
        <x:v>CLASS-bard</x:v>
      </x:c>
      <x:c r="C63" s="21" t="str">
        <x:v>be96272c-8585-438d-ac32-b2788f1b1741</x:v>
      </x:c>
      <x:c r="D63" s="21" t="n">
        <x:v>17</x:v>
      </x:c>
      <x:c r="E63" s="21" t="str">
        <x:v>Effect</x:v>
      </x:c>
      <x:c r="F63" s="21" t="str">
        <x:v>Заклинания (бард)</x:v>
      </x:c>
      <x:c r="G63" s="21" t="str">
        <x:v>caster-bard-spells · 65732c06-38ff-417a-a045-f2dcc3ed4031</x:v>
      </x:c>
      <x:c r="H63"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3" s="21" t="str">
        <x:v>verified_mechanical</x:v>
      </x:c>
      <x:c r="J63" s="21" t="str">
        <x:v>Not tested</x:v>
      </x:c>
      <x:c r="K63" s="21" t="str"/>
      <x:c r="L63" s="21" t="str"/>
    </x:row>
    <x:row r="64" ht="48" customHeight="1">
      <x:c r="A64" s="21" t="str">
        <x:v>Бард</x:v>
      </x:c>
      <x:c r="B64" s="21" t="str">
        <x:v>CLASS-bard</x:v>
      </x:c>
      <x:c r="C64" s="21" t="str">
        <x:v>be96272c-8585-438d-ac32-b2788f1b1741</x:v>
      </x:c>
      <x:c r="D64" s="21" t="n">
        <x:v>18</x:v>
      </x:c>
      <x:c r="E64" s="21" t="str">
        <x:v>Effect</x:v>
      </x:c>
      <x:c r="F64" s="21" t="str">
        <x:v>Заклинания (бард)</x:v>
      </x:c>
      <x:c r="G64" s="21" t="str">
        <x:v>caster-bard-spells · 65732c06-38ff-417a-a045-f2dcc3ed4031</x:v>
      </x:c>
      <x:c r="H64"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4" s="21" t="str">
        <x:v>verified_mechanical</x:v>
      </x:c>
      <x:c r="J64" s="21" t="str">
        <x:v>Not tested</x:v>
      </x:c>
      <x:c r="K64" s="21" t="str"/>
      <x:c r="L64" s="21" t="str"/>
    </x:row>
    <x:row r="65" ht="48" customHeight="1">
      <x:c r="A65" s="21" t="str">
        <x:v>Бард</x:v>
      </x:c>
      <x:c r="B65" s="21" t="str">
        <x:v>CLASS-bard</x:v>
      </x:c>
      <x:c r="C65" s="21" t="str">
        <x:v>be96272c-8585-438d-ac32-b2788f1b1741</x:v>
      </x:c>
      <x:c r="D65" s="21" t="n">
        <x:v>19</x:v>
      </x:c>
      <x:c r="E65" s="21" t="str">
        <x:v>Effect</x:v>
      </x:c>
      <x:c r="F65" s="21" t="str">
        <x:v>Получение черты · слот 5</x:v>
      </x:c>
      <x:c r="G65" s="21" t="str">
        <x:v>pf_5 · f5694b06-f2f8-40a7-8521-cc6bfe1e93c6</x:v>
      </x:c>
      <x:c r="H65" s="21" t="str">
        <x:v>Получение черты · слот 5 | Activation: passive | Effects: [{"grant":{"kind":"grant_feat"},"id":"gain_feat","kind":"choice","options":{"categories":["origin","general"],"source":"feat"},"prompt":"Получение черты"}]</x:v>
      </x:c>
      <x:c r="I65" s="21" t="str">
        <x:v>verified_mechanical</x:v>
      </x:c>
      <x:c r="J65" s="21" t="str">
        <x:v>Not tested</x:v>
      </x:c>
      <x:c r="K65" s="21" t="str"/>
      <x:c r="L65" s="21" t="str"/>
    </x:row>
    <x:row r="66" ht="48" customHeight="1">
      <x:c r="A66" s="21" t="str">
        <x:v>Бард</x:v>
      </x:c>
      <x:c r="B66" s="21" t="str">
        <x:v>CLASS-bard</x:v>
      </x:c>
      <x:c r="C66" s="21" t="str">
        <x:v>be96272c-8585-438d-ac32-b2788f1b1741</x:v>
      </x:c>
      <x:c r="D66" s="21" t="n">
        <x:v>19</x:v>
      </x:c>
      <x:c r="E66" s="21" t="str">
        <x:v>Effect</x:v>
      </x:c>
      <x:c r="F66" s="21" t="str">
        <x:v>Заклинания (бард)</x:v>
      </x:c>
      <x:c r="G66" s="21" t="str">
        <x:v>caster-bard-spells · 65732c06-38ff-417a-a045-f2dcc3ed4031</x:v>
      </x:c>
      <x:c r="H66"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6" s="21" t="str">
        <x:v>verified_mechanical</x:v>
      </x:c>
      <x:c r="J66" s="21" t="str">
        <x:v>Not tested</x:v>
      </x:c>
      <x:c r="K66" s="21" t="str"/>
      <x:c r="L66" s="21" t="str"/>
    </x:row>
    <x:row r="67" ht="48" customHeight="1">
      <x:c r="A67" s="21" t="str">
        <x:v>Бард</x:v>
      </x:c>
      <x:c r="B67" s="21" t="str">
        <x:v>CLASS-bard</x:v>
      </x:c>
      <x:c r="C67" s="21" t="str">
        <x:v>be96272c-8585-438d-ac32-b2788f1b1741</x:v>
      </x:c>
      <x:c r="D67" s="21" t="n">
        <x:v>20</x:v>
      </x:c>
      <x:c r="E67" s="21" t="str">
        <x:v>Effect</x:v>
      </x:c>
      <x:c r="F67" s="21" t="str">
        <x:v>Заклинания (бард)</x:v>
      </x:c>
      <x:c r="G67" s="21" t="str">
        <x:v>caster-bard-spells · 65732c06-38ff-417a-a045-f2dcc3ed4031</x:v>
      </x:c>
      <x:c r="H67" s="21" t="str">
        <x:v>Выбор заклинаний барда на уровне (доступные круги). Повторяемый: по одному на уровень. | Activation: passive | Effects: [{"resolution":"auto","result":[{"count":1,"grant":{"kind":"grant_spell","label":"known"},"id":"bard_spells_recurring","kind":"choice","options":{"filter":{"classes":["бард"],"only_available_slots":true},"source":"spell"},"prompt":"Выберите заклинание","resolution":"on_acquire"}]}]</x:v>
      </x:c>
      <x:c r="I67" s="21" t="str">
        <x:v>verified_mechanical</x:v>
      </x:c>
      <x:c r="J67" s="21" t="str">
        <x:v>Not tested</x:v>
      </x:c>
      <x:c r="K67" s="21" t="str"/>
      <x:c r="L67" s="21" t="str"/>
    </x:row>
    <x:row r="68" ht="48" customHeight="1">
      <x:c r="A68" s="21" t="str">
        <x:v>Воин</x:v>
      </x:c>
      <x:c r="B68" s="21" t="str">
        <x:v>CLASS-warrior</x:v>
      </x:c>
      <x:c r="C68" s="21" t="str">
        <x:v>2705eb12-1556-40c8-bdae-671e8f5c67eb</x:v>
      </x:c>
      <x:c r="D68" s="21" t="n">
        <x:v>1</x:v>
      </x:c>
      <x:c r="E68" s="21" t="str">
        <x:v>Class chassis</x:v>
      </x:c>
      <x:c r="F68" s="21" t="str">
        <x:v>Воин</x:v>
      </x:c>
      <x:c r="G68" s="21" t="str">
        <x:v>2705eb12-1556-40c8-bdae-671e8f5c67eb</x:v>
      </x:c>
      <x:c r="H68" s="21" t="str">
        <x:v>Hit die d10; primary ["str","dex"]; saves ["str","con"]; armor ["light","medium","heavy","shields"]; weapons ["simple","martial"]; skills {"count":2,"options":["acrobatics","animal_handling","athletics","history","insight","intimidation","perception","survival"]}. Мастер оружия и брони.</x:v>
      </x:c>
      <x:c r="I68" s="21" t="str">
        <x:v>verified_partial</x:v>
      </x:c>
      <x:c r="J68" s="21" t="str">
        <x:v>Passed</x:v>
      </x:c>
      <x:c r="K68" s="21" t="str">
        <x:v>84e8c110-bbba-41be-85ef-9165c376d746</x:v>
      </x:c>
      <x:c r="L68"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69" ht="48" customHeight="1">
      <x:c r="A69" s="21" t="str">
        <x:v>Воин</x:v>
      </x:c>
      <x:c r="B69" s="21" t="str">
        <x:v>CLASS-warrior</x:v>
      </x:c>
      <x:c r="C69" s="21" t="str">
        <x:v>2705eb12-1556-40c8-bdae-671e8f5c67eb</x:v>
      </x:c>
      <x:c r="D69" s="21" t="n">
        <x:v>1</x:v>
      </x:c>
      <x:c r="E69" s="21" t="str">
        <x:v>Action</x:v>
      </x:c>
      <x:c r="F69" s="21" t="str">
        <x:v>Второе дыхание</x:v>
      </x:c>
      <x:c r="G69" s="21" t="str">
        <x:v>ACT-second-wind · 1cd19d26-3011-4859-9430-c8787fe99ba7</x:v>
      </x:c>
      <x:c r="H69" s="21" t="str">
        <x:v>Бонусным действием восстановите 1d10 + ваш уровень воина хитов. | Activation: active; cost bonus_action, self_uses | Targeting: {"actor_targets":false,"allowed_relations":["self"],"domain":"actor","max_targets":1,"min_targets":0,"range_ft":0,"requires_line_of_sight":false,"shape":"self"} | Effects: [{"resolution":"auto","result":[{"amount":"1d10 + self_level","kind":"healing"}]}]</x:v>
      </x:c>
      <x:c r="I69" s="21" t="str">
        <x:v>verified_mechanical</x:v>
      </x:c>
      <x:c r="J69" s="21" t="str">
        <x:v>Passed</x:v>
      </x:c>
      <x:c r="K69" s="21" t="str">
        <x:v>84e8c110-bbba-41be-85ef-9165c376d746</x:v>
      </x:c>
      <x:c r="L69"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70" ht="48" customHeight="1">
      <x:c r="A70" s="21" t="str">
        <x:v>Воин</x:v>
      </x:c>
      <x:c r="B70" s="21" t="str">
        <x:v>CLASS-warrior</x:v>
      </x:c>
      <x:c r="C70" s="21" t="str">
        <x:v>2705eb12-1556-40c8-bdae-671e8f5c67eb</x:v>
      </x:c>
      <x:c r="D70" s="21" t="n">
        <x:v>1</x:v>
      </x:c>
      <x:c r="E70" s="21" t="str">
        <x:v>Effect</x:v>
      </x:c>
      <x:c r="F70" s="21" t="str">
        <x:v>Боевой стиль</x:v>
      </x:c>
      <x:c r="G70" s="21" t="str">
        <x:v>EFF-fighting-style · 39be6236-7db8-46c7-a3ab-c84bc51918da</x:v>
      </x:c>
      <x:c r="H70" s="21" t="str">
        <x:v>Выберите специализацию владения оружием. | Activation: passive | Effects: [{"count":1,"grant":{"kind":"grant_feat"},"id":"fighter_fighting_style","kind":"choice","options":{"filter":"fighting_style","source":"feat"},"prompt":"Выберите боевой стиль","resolution":"on_acquire"}]</x:v>
      </x:c>
      <x:c r="I70" s="21" t="str">
        <x:v>verified_mechanical</x:v>
      </x:c>
      <x:c r="J70" s="21" t="str">
        <x:v>Passed</x:v>
      </x:c>
      <x:c r="K70" s="21" t="str">
        <x:v>84e8c110-bbba-41be-85ef-9165c376d746</x:v>
      </x:c>
      <x:c r="L70"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71" ht="48" customHeight="1">
      <x:c r="A71" s="21" t="str">
        <x:v>Воин</x:v>
      </x:c>
      <x:c r="B71" s="21" t="str">
        <x:v>CLASS-warrior</x:v>
      </x:c>
      <x:c r="C71" s="21" t="str">
        <x:v>2705eb12-1556-40c8-bdae-671e8f5c67eb</x:v>
      </x:c>
      <x:c r="D71" s="21" t="n">
        <x:v>1</x:v>
      </x:c>
      <x:c r="E71" s="21" t="str">
        <x:v>Effect</x:v>
      </x:c>
      <x:c r="F71" s="21" t="str">
        <x:v>Искусное владение оружием</x:v>
      </x:c>
      <x:c r="G71" s="21" t="str">
        <x:v>EFF-weapon-mastery-3 · bfd9a78c-4676-4b6f-8318-e5aee7f1d89b</x:v>
      </x:c>
      <x:c r="H71" s="21" t="str">
        <x:v>Вы можете пользоваться свойствами искусности трёх видов Простого или Воинского оружия по вашему выбору. Благодаря тренировкам вы можете пользоваться свойствами искусности выбранных вами видов оружия. Каждый раз, когда вы заканчиваете Долгий отдых, вы можете изменить выбор — на листе персонажа в блоке выборов. | Activation: passive | Effects: [{"resolution":"auto","result":[{"context":"in_play","count":3,"grant":{"kind":"weapon_mastery"},"id":"weapon-mastery","kind":"choice","options":{"source":"weapon"},"prompt":"Искусность: выберите 3 вида оружия"}]}]</x:v>
      </x:c>
      <x:c r="I71" s="21" t="str">
        <x:v>verified_mechanical</x:v>
      </x:c>
      <x:c r="J71" s="21" t="str">
        <x:v>Passed</x:v>
      </x:c>
      <x:c r="K71" s="21" t="str">
        <x:v>84e8c110-bbba-41be-85ef-9165c376d746</x:v>
      </x:c>
      <x:c r="L7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All eight mastery primitives passed 33 mandatory scenarios; production exposes 25 strict weapon bindings with Cleave, Graze, Nick, Push, Sap, Slow, Topple, and Vex all reachable.</x:v>
      </x:c>
    </x:row>
    <x:row r="72" ht="48" customHeight="1">
      <x:c r="A72" s="21" t="str">
        <x:v>Воин</x:v>
      </x:c>
      <x:c r="B72" s="21" t="str">
        <x:v>CLASS-warrior</x:v>
      </x:c>
      <x:c r="C72" s="21" t="str">
        <x:v>2705eb12-1556-40c8-bdae-671e8f5c67eb</x:v>
      </x:c>
      <x:c r="D72" s="21" t="n">
        <x:v>2</x:v>
      </x:c>
      <x:c r="E72" s="21" t="str">
        <x:v>Action</x:v>
      </x:c>
      <x:c r="F72" s="21" t="str">
        <x:v>Всплеск действий</x:v>
      </x:c>
      <x:c r="G72" s="21" t="str">
        <x:v>ACT-action-surge · 01c4caa3-88e0-4d11-b8fb-214622617d9f</x:v>
      </x:c>
      <x:c r="H72" s="21" t="str">
        <x:v>Дополнительное действие (1/длинный отдых). | Activation: active | Effects: [{"resolution":"auto","result":[{"description":"Получите одно дополнительное действие в этот ход.","kind":"narrative"}]}]</x:v>
      </x:c>
      <x:c r="I72" s="21" t="str">
        <x:v>verified_mechanical</x:v>
      </x:c>
      <x:c r="J72" s="21" t="str">
        <x:v>Not tested</x:v>
      </x:c>
      <x:c r="K72" s="21" t="str"/>
      <x:c r="L72" s="21" t="str"/>
    </x:row>
    <x:row r="73" ht="48" customHeight="1">
      <x:c r="A73" s="21" t="str">
        <x:v>Воин</x:v>
      </x:c>
      <x:c r="B73" s="21" t="str">
        <x:v>CLASS-warrior</x:v>
      </x:c>
      <x:c r="C73" s="21" t="str">
        <x:v>2705eb12-1556-40c8-bdae-671e8f5c67eb</x:v>
      </x:c>
      <x:c r="D73" s="21" t="n">
        <x:v>2</x:v>
      </x:c>
      <x:c r="E73" s="21" t="str">
        <x:v>Effect</x:v>
      </x:c>
      <x:c r="F73" s="21" t="str">
        <x:v>Тактический ум</x:v>
      </x:c>
      <x:c r="G73" s="21" t="str">
        <x:v>EFF-tactical-mind · 7629efc5-014f-4b5f-9aa5-d0fc4c773bec</x:v>
      </x:c>
      <x:c r="H73" s="21" t="str">
        <x:v>Перераспределение второго дыхания на проверки. | Activation: passive | Effects: [{"resolution":"auto","result":[{"description":"Потратьте кость второго дыхания, чтобы добавить 1d10 к проваленной проверке с владением.","kind":"narrative"}]}]</x:v>
      </x:c>
      <x:c r="I73" s="21" t="str">
        <x:v>verified_mechanical</x:v>
      </x:c>
      <x:c r="J73" s="21" t="str">
        <x:v>Not tested</x:v>
      </x:c>
      <x:c r="K73" s="21" t="str"/>
      <x:c r="L73" s="21" t="str"/>
    </x:row>
    <x:row r="74" ht="48" customHeight="1">
      <x:c r="A74" s="21" t="str">
        <x:v>Воин</x:v>
      </x:c>
      <x:c r="B74" s="21" t="str">
        <x:v>CLASS-warrior</x:v>
      </x:c>
      <x:c r="C74" s="21" t="str">
        <x:v>2705eb12-1556-40c8-bdae-671e8f5c67eb</x:v>
      </x:c>
      <x:c r="D74" s="21" t="n">
        <x:v>4</x:v>
      </x:c>
      <x:c r="E74" s="21" t="str">
        <x:v>Effect</x:v>
      </x:c>
      <x:c r="F74" s="21" t="str">
        <x:v>Получение черты</x:v>
      </x:c>
      <x:c r="G74" s="21" t="str">
        <x:v>pf_1 · 5dbd9afb-b125-4038-9d51-54819757c777</x:v>
      </x:c>
      <x:c r="H74"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74" s="21" t="str">
        <x:v>verified_mechanical</x:v>
      </x:c>
      <x:c r="J74" s="21" t="str">
        <x:v>Not tested</x:v>
      </x:c>
      <x:c r="K74" s="21" t="str"/>
      <x:c r="L74" s="21" t="str"/>
    </x:row>
    <x:row r="75" ht="48" customHeight="1">
      <x:c r="A75" s="21" t="str">
        <x:v>Воин</x:v>
      </x:c>
      <x:c r="B75" s="21" t="str">
        <x:v>CLASS-warrior</x:v>
      </x:c>
      <x:c r="C75" s="21" t="str">
        <x:v>2705eb12-1556-40c8-bdae-671e8f5c67eb</x:v>
      </x:c>
      <x:c r="D75" s="21" t="n">
        <x:v>4</x:v>
      </x:c>
      <x:c r="E75" s="21" t="str">
        <x:v>Effect</x:v>
      </x:c>
      <x:c r="F75" s="21" t="str">
        <x:v>Искусное владение оружием: ещё один вид</x:v>
      </x:c>
      <x:c r="G75" s="21" t="str">
        <x:v>EFF-weapon-mastery-plus-4 · 98303d8c-be14-434a-b9e5-8ae0355bc2ac</x:v>
      </x:c>
      <x:c r="H75" s="21" t="str">
        <x:v>Вы можете пользоваться свойством искусности ещё одного вида оружия (рост по таблице класса на 4-м уровне). | Activation: passive | Effects: [{"resolution":"auto","result":[{"context":"in_play","count":1,"grant":{"kind":"weapon_mastery"},"id":"weapon-mastery","kind":"choice","options":{"source":"weapon"},"prompt":"Искусность: выберите ещё один вид оружия"}]}]</x:v>
      </x:c>
      <x:c r="I75" s="21" t="str">
        <x:v>verified_mechanical</x:v>
      </x:c>
      <x:c r="J75" s="21" t="str">
        <x:v>Not tested</x:v>
      </x:c>
      <x:c r="K75" s="21" t="str"/>
      <x:c r="L75" s="21" t="str"/>
    </x:row>
    <x:row r="76" ht="48" customHeight="1">
      <x:c r="A76" s="21" t="str">
        <x:v>Воин</x:v>
      </x:c>
      <x:c r="B76" s="21" t="str">
        <x:v>CLASS-warrior</x:v>
      </x:c>
      <x:c r="C76" s="21" t="str">
        <x:v>2705eb12-1556-40c8-bdae-671e8f5c67eb</x:v>
      </x:c>
      <x:c r="D76" s="21" t="n">
        <x:v>6</x:v>
      </x:c>
      <x:c r="E76" s="21" t="str">
        <x:v>Effect</x:v>
      </x:c>
      <x:c r="F76" s="21" t="str">
        <x:v>Получение черты · слот 6</x:v>
      </x:c>
      <x:c r="G76" s="21" t="str">
        <x:v>pf_6 · c8cdd0e3-5d9b-4403-9aa7-80c3b691239a</x:v>
      </x:c>
      <x:c r="H76" s="21" t="str">
        <x:v>Получение черты · слот 6 | Activation: passive | Effects: [{"grant":{"kind":"grant_feat"},"id":"gain_feat","kind":"choice","options":{"categories":["origin","general"],"source":"feat"},"prompt":"Получение черты"}]</x:v>
      </x:c>
      <x:c r="I76" s="21" t="str">
        <x:v>verified_mechanical</x:v>
      </x:c>
      <x:c r="J76" s="21" t="str">
        <x:v>Not tested</x:v>
      </x:c>
      <x:c r="K76" s="21" t="str"/>
      <x:c r="L76" s="21" t="str"/>
    </x:row>
    <x:row r="77" ht="48" customHeight="1">
      <x:c r="A77" s="21" t="str">
        <x:v>Воин</x:v>
      </x:c>
      <x:c r="B77" s="21" t="str">
        <x:v>CLASS-warrior</x:v>
      </x:c>
      <x:c r="C77" s="21" t="str">
        <x:v>2705eb12-1556-40c8-bdae-671e8f5c67eb</x:v>
      </x:c>
      <x:c r="D77" s="21" t="n">
        <x:v>8</x:v>
      </x:c>
      <x:c r="E77" s="21" t="str">
        <x:v>Effect</x:v>
      </x:c>
      <x:c r="F77" s="21" t="str">
        <x:v>Получение черты · слот 2</x:v>
      </x:c>
      <x:c r="G77" s="21" t="str">
        <x:v>pf_2 · 55689cd6-f67f-4368-8a96-53bc134fd78b</x:v>
      </x:c>
      <x:c r="H77" s="21" t="str">
        <x:v>Получение черты · слот 2 | Activation: passive | Effects: [{"grant":{"kind":"grant_feat"},"id":"gain_feat","kind":"choice","options":{"categories":["origin","general"],"source":"feat"},"prompt":"Получение черты"}]</x:v>
      </x:c>
      <x:c r="I77" s="21" t="str">
        <x:v>verified_mechanical</x:v>
      </x:c>
      <x:c r="J77" s="21" t="str">
        <x:v>Not tested</x:v>
      </x:c>
      <x:c r="K77" s="21" t="str"/>
      <x:c r="L77" s="21" t="str"/>
    </x:row>
    <x:row r="78" ht="48" customHeight="1">
      <x:c r="A78" s="21" t="str">
        <x:v>Воин</x:v>
      </x:c>
      <x:c r="B78" s="21" t="str">
        <x:v>CLASS-warrior</x:v>
      </x:c>
      <x:c r="C78" s="21" t="str">
        <x:v>2705eb12-1556-40c8-bdae-671e8f5c67eb</x:v>
      </x:c>
      <x:c r="D78" s="21" t="n">
        <x:v>10</x:v>
      </x:c>
      <x:c r="E78" s="21" t="str">
        <x:v>Effect</x:v>
      </x:c>
      <x:c r="F78" s="21" t="str">
        <x:v>Искусное владение оружием: ещё один вид</x:v>
      </x:c>
      <x:c r="G78" s="21" t="str">
        <x:v>EFF-weapon-mastery-plus-10 · 4d158ef4-61b7-4677-95c1-0c770a9ed112</x:v>
      </x:c>
      <x:c r="H78" s="21" t="str">
        <x:v>Вы можете пользоваться свойством искусности ещё одного вида оружия (рост по таблице Воина на 10-м уровне). | Activation: passive | Effects: [{"resolution":"auto","result":[{"context":"in_play","count":1,"grant":{"kind":"weapon_mastery"},"id":"weapon-mastery","kind":"choice","options":{"source":"weapon"},"prompt":"Искусность: выберите ещё один вид оружия"}]}]</x:v>
      </x:c>
      <x:c r="I78" s="21" t="str">
        <x:v>verified_mechanical</x:v>
      </x:c>
      <x:c r="J78" s="21" t="str">
        <x:v>Not tested</x:v>
      </x:c>
      <x:c r="K78" s="21" t="str"/>
      <x:c r="L78" s="21" t="str"/>
    </x:row>
    <x:row r="79" ht="48" customHeight="1">
      <x:c r="A79" s="21" t="str">
        <x:v>Воин</x:v>
      </x:c>
      <x:c r="B79" s="21" t="str">
        <x:v>CLASS-warrior</x:v>
      </x:c>
      <x:c r="C79" s="21" t="str">
        <x:v>2705eb12-1556-40c8-bdae-671e8f5c67eb</x:v>
      </x:c>
      <x:c r="D79" s="21" t="n">
        <x:v>12</x:v>
      </x:c>
      <x:c r="E79" s="21" t="str">
        <x:v>Effect</x:v>
      </x:c>
      <x:c r="F79" s="21" t="str">
        <x:v>Получение черты · слот 3</x:v>
      </x:c>
      <x:c r="G79" s="21" t="str">
        <x:v>pf_3 · 6ec4b5ab-4abc-47af-b45a-560ca2a1bb07</x:v>
      </x:c>
      <x:c r="H79" s="21" t="str">
        <x:v>Получение черты · слот 3 | Activation: passive | Effects: [{"grant":{"kind":"grant_feat"},"id":"gain_feat","kind":"choice","options":{"categories":["origin","general"],"source":"feat"},"prompt":"Получение черты"}]</x:v>
      </x:c>
      <x:c r="I79" s="21" t="str">
        <x:v>verified_mechanical</x:v>
      </x:c>
      <x:c r="J79" s="21" t="str">
        <x:v>Not tested</x:v>
      </x:c>
      <x:c r="K79" s="21" t="str"/>
      <x:c r="L79" s="21" t="str"/>
    </x:row>
    <x:row r="80" ht="48" customHeight="1">
      <x:c r="A80" s="21" t="str">
        <x:v>Воин</x:v>
      </x:c>
      <x:c r="B80" s="21" t="str">
        <x:v>CLASS-warrior</x:v>
      </x:c>
      <x:c r="C80" s="21" t="str">
        <x:v>2705eb12-1556-40c8-bdae-671e8f5c67eb</x:v>
      </x:c>
      <x:c r="D80" s="21" t="n">
        <x:v>14</x:v>
      </x:c>
      <x:c r="E80" s="21" t="str">
        <x:v>Effect</x:v>
      </x:c>
      <x:c r="F80" s="21" t="str">
        <x:v>Получение черты · слот 7</x:v>
      </x:c>
      <x:c r="G80" s="21" t="str">
        <x:v>pf_7 · 1caf28f3-1d87-45c8-b30f-193afd4b7e78</x:v>
      </x:c>
      <x:c r="H80" s="21" t="str">
        <x:v>Получение черты · слот 7 | Activation: passive | Effects: [{"grant":{"kind":"grant_feat"},"id":"gain_feat","kind":"choice","options":{"categories":["origin","general"],"source":"feat"},"prompt":"Получение черты"}]</x:v>
      </x:c>
      <x:c r="I80" s="21" t="str">
        <x:v>verified_mechanical</x:v>
      </x:c>
      <x:c r="J80" s="21" t="str">
        <x:v>Not tested</x:v>
      </x:c>
      <x:c r="K80" s="21" t="str"/>
      <x:c r="L80" s="21" t="str"/>
    </x:row>
    <x:row r="81" ht="48" customHeight="1">
      <x:c r="A81" s="21" t="str">
        <x:v>Воин</x:v>
      </x:c>
      <x:c r="B81" s="21" t="str">
        <x:v>CLASS-warrior</x:v>
      </x:c>
      <x:c r="C81" s="21" t="str">
        <x:v>2705eb12-1556-40c8-bdae-671e8f5c67eb</x:v>
      </x:c>
      <x:c r="D81" s="21" t="n">
        <x:v>16</x:v>
      </x:c>
      <x:c r="E81" s="21" t="str">
        <x:v>Effect</x:v>
      </x:c>
      <x:c r="F81" s="21" t="str">
        <x:v>Получение черты · слот 4</x:v>
      </x:c>
      <x:c r="G81" s="21" t="str">
        <x:v>pf_4 · f3a0400f-579f-4a68-8105-cfad1d862357</x:v>
      </x:c>
      <x:c r="H81" s="21" t="str">
        <x:v>Получение черты · слот 4 | Activation: passive | Effects: [{"grant":{"kind":"grant_feat"},"id":"gain_feat","kind":"choice","options":{"categories":["origin","general"],"source":"feat"},"prompt":"Получение черты"}]</x:v>
      </x:c>
      <x:c r="I81" s="21" t="str">
        <x:v>verified_mechanical</x:v>
      </x:c>
      <x:c r="J81" s="21" t="str">
        <x:v>Not tested</x:v>
      </x:c>
      <x:c r="K81" s="21" t="str"/>
      <x:c r="L81" s="21" t="str"/>
    </x:row>
    <x:row r="82" ht="48" customHeight="1">
      <x:c r="A82" s="21" t="str">
        <x:v>Воин</x:v>
      </x:c>
      <x:c r="B82" s="21" t="str">
        <x:v>CLASS-warrior</x:v>
      </x:c>
      <x:c r="C82" s="21" t="str">
        <x:v>2705eb12-1556-40c8-bdae-671e8f5c67eb</x:v>
      </x:c>
      <x:c r="D82" s="21" t="n">
        <x:v>16</x:v>
      </x:c>
      <x:c r="E82" s="21" t="str">
        <x:v>Effect</x:v>
      </x:c>
      <x:c r="F82" s="21" t="str">
        <x:v>Искусное владение оружием: ещё один вид</x:v>
      </x:c>
      <x:c r="G82" s="21" t="str">
        <x:v>EFF-weapon-mastery-plus-16 · 8ab4f253-8cb5-4319-91c1-f06ba2fa888a</x:v>
      </x:c>
      <x:c r="H82" s="21" t="str">
        <x:v>Вы можете пользоваться свойством искусности ещё одного вида оружия (рост по таблице Воина на 16-м уровне). | Activation: passive | Effects: [{"resolution":"auto","result":[{"context":"in_play","count":1,"grant":{"kind":"weapon_mastery"},"id":"weapon-mastery","kind":"choice","options":{"source":"weapon"},"prompt":"Искусность: выберите ещё один вид оружия"}]}]</x:v>
      </x:c>
      <x:c r="I82" s="21" t="str">
        <x:v>verified_mechanical</x:v>
      </x:c>
      <x:c r="J82" s="21" t="str">
        <x:v>Not tested</x:v>
      </x:c>
      <x:c r="K82" s="21" t="str"/>
      <x:c r="L82" s="21" t="str"/>
    </x:row>
    <x:row r="83" ht="48" customHeight="1">
      <x:c r="A83" s="21" t="str">
        <x:v>Воин</x:v>
      </x:c>
      <x:c r="B83" s="21" t="str">
        <x:v>CLASS-warrior</x:v>
      </x:c>
      <x:c r="C83" s="21" t="str">
        <x:v>2705eb12-1556-40c8-bdae-671e8f5c67eb</x:v>
      </x:c>
      <x:c r="D83" s="21" t="n">
        <x:v>19</x:v>
      </x:c>
      <x:c r="E83" s="21" t="str">
        <x:v>Effect</x:v>
      </x:c>
      <x:c r="F83" s="21" t="str">
        <x:v>Получение черты · слот 5</x:v>
      </x:c>
      <x:c r="G83" s="21" t="str">
        <x:v>pf_5 · f5694b06-f2f8-40a7-8521-cc6bfe1e93c6</x:v>
      </x:c>
      <x:c r="H83" s="21" t="str">
        <x:v>Получение черты · слот 5 | Activation: passive | Effects: [{"grant":{"kind":"grant_feat"},"id":"gain_feat","kind":"choice","options":{"categories":["origin","general"],"source":"feat"},"prompt":"Получение черты"}]</x:v>
      </x:c>
      <x:c r="I83" s="21" t="str">
        <x:v>verified_mechanical</x:v>
      </x:c>
      <x:c r="J83" s="21" t="str">
        <x:v>Not tested</x:v>
      </x:c>
      <x:c r="K83" s="21" t="str"/>
      <x:c r="L83" s="21" t="str"/>
    </x:row>
    <x:row r="84" ht="48" customHeight="1">
      <x:c r="A84" s="21" t="str">
        <x:v>Волшебник</x:v>
      </x:c>
      <x:c r="B84" s="21" t="str">
        <x:v>CLASS-wizard</x:v>
      </x:c>
      <x:c r="C84" s="21" t="str">
        <x:v>d3b22b24-a4f1-4dab-8038-c89bfee62843</x:v>
      </x:c>
      <x:c r="D84" s="21" t="n">
        <x:v>1</x:v>
      </x:c>
      <x:c r="E84" s="21" t="str">
        <x:v>Class chassis</x:v>
      </x:c>
      <x:c r="F84" s="21" t="str">
        <x:v>Волшебник</x:v>
      </x:c>
      <x:c r="G84" s="21" t="str">
        <x:v>d3b22b24-a4f1-4dab-8038-c89bfee62843</x:v>
      </x:c>
      <x:c r="H84" s="21" t="str">
        <x:v>Hit die d6; primary ["int"]; saves ["int","wis"]; armor ; weapons ["simple"]; skills {"count":2,"options":["arcana","history","insight","investigation","medicine","religion"]}. Учёный тайной магии.</x:v>
      </x:c>
      <x:c r="I84" s="21" t="str">
        <x:v>verified_partial</x:v>
      </x:c>
      <x:c r="J84" s="21" t="str">
        <x:v>Passed</x:v>
      </x:c>
      <x:c r="K84" s="21" t="str">
        <x:v>356f2df5-2593-4b3d-a249-ebe72cbc42a5</x:v>
      </x:c>
      <x:c r="L8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85" ht="48" customHeight="1">
      <x:c r="A85" s="21" t="str">
        <x:v>Волшебник</x:v>
      </x:c>
      <x:c r="B85" s="21" t="str">
        <x:v>CLASS-wizard</x:v>
      </x:c>
      <x:c r="C85" s="21" t="str">
        <x:v>d3b22b24-a4f1-4dab-8038-c89bfee62843</x:v>
      </x:c>
      <x:c r="D85" s="21" t="n">
        <x:v>1</x:v>
      </x:c>
      <x:c r="E85" s="21" t="str">
        <x:v>Resource</x:v>
      </x:c>
      <x:c r="F85" s="21" t="str">
        <x:v>magic_recovery_charge</x:v>
      </x:c>
      <x:c r="G85" s="21" t="str"/>
      <x:c r="H85" s="21" t="str">
        <x:v>{"by_level":{"1":1,"3":2,"5":3,"7":4,"9":5,"11":6,"13":7,"15":8,"17":9,"19":10},"per":"long_rest"}</x:v>
      </x:c>
      <x:c r="I85" s="21" t="str">
        <x:v>verified_partial</x:v>
      </x:c>
      <x:c r="J85" s="21" t="str">
        <x:v>Passed</x:v>
      </x:c>
      <x:c r="K85" s="21" t="str">
        <x:v>356f2df5-2593-4b3d-a249-ebe72cbc42a5</x:v>
      </x:c>
      <x:c r="L8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86" ht="48" customHeight="1">
      <x:c r="A86" s="21" t="str">
        <x:v>Волшебник</x:v>
      </x:c>
      <x:c r="B86" s="21" t="str">
        <x:v>CLASS-wizard</x:v>
      </x:c>
      <x:c r="C86" s="21" t="str">
        <x:v>d3b22b24-a4f1-4dab-8038-c89bfee62843</x:v>
      </x:c>
      <x:c r="D86" s="21" t="n">
        <x:v>1</x:v>
      </x:c>
      <x:c r="E86" s="21" t="str">
        <x:v>Resource</x:v>
      </x:c>
      <x:c r="F86" s="21" t="str">
        <x:v>spell_slot_1</x:v>
      </x:c>
      <x:c r="G86" s="21" t="str"/>
      <x:c r="H86" s="21" t="str">
        <x:v>{"by_level":{"1":2,"2":3,"3":4},"per":"long_rest"}</x:v>
      </x:c>
      <x:c r="I86" s="21" t="str">
        <x:v>verified_partial</x:v>
      </x:c>
      <x:c r="J86" s="21" t="str">
        <x:v>Passed</x:v>
      </x:c>
      <x:c r="K86" s="21" t="str">
        <x:v>356f2df5-2593-4b3d-a249-ebe72cbc42a5</x:v>
      </x:c>
      <x:c r="L8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87" ht="48" customHeight="1">
      <x:c r="A87" s="21" t="str">
        <x:v>Волшебник</x:v>
      </x:c>
      <x:c r="B87" s="21" t="str">
        <x:v>CLASS-wizard</x:v>
      </x:c>
      <x:c r="C87" s="21" t="str">
        <x:v>d3b22b24-a4f1-4dab-8038-c89bfee62843</x:v>
      </x:c>
      <x:c r="D87" s="21" t="n">
        <x:v>3</x:v>
      </x:c>
      <x:c r="E87" s="21" t="str">
        <x:v>Resource</x:v>
      </x:c>
      <x:c r="F87" s="21" t="str">
        <x:v>spell_slot_2</x:v>
      </x:c>
      <x:c r="G87" s="21" t="str"/>
      <x:c r="H87" s="21" t="str">
        <x:v>{"by_level":{"3":2,"4":3},"per":"long_rest"}</x:v>
      </x:c>
      <x:c r="I87" s="21" t="str">
        <x:v>verified_partial</x:v>
      </x:c>
      <x:c r="J87" s="21" t="str">
        <x:v>Not tested</x:v>
      </x:c>
      <x:c r="K87" s="21" t="str"/>
      <x:c r="L87" s="21" t="str">
        <x:v>Checklist inventory correction: spell_slot_2 first becomes available at class level 3; it is not part of the level-1 mini-MVP gate. Its Not tested status is intentionally preserved for the later-level phase.</x:v>
      </x:c>
    </x:row>
    <x:row r="88" ht="48" customHeight="1">
      <x:c r="A88" s="21" t="str">
        <x:v>Волшебник</x:v>
      </x:c>
      <x:c r="B88" s="21" t="str">
        <x:v>CLASS-wizard</x:v>
      </x:c>
      <x:c r="C88" s="21" t="str">
        <x:v>d3b22b24-a4f1-4dab-8038-c89bfee62843</x:v>
      </x:c>
      <x:c r="D88" s="21" t="n">
        <x:v>5</x:v>
      </x:c>
      <x:c r="E88" s="21" t="str">
        <x:v>Resource</x:v>
      </x:c>
      <x:c r="F88" s="21" t="str">
        <x:v>spell_slot_3</x:v>
      </x:c>
      <x:c r="G88" s="21" t="str"/>
      <x:c r="H88" s="21" t="str">
        <x:v>{"by_level":{"5":2,"6":3},"per":"long_rest"}</x:v>
      </x:c>
      <x:c r="I88" s="21" t="str">
        <x:v>verified_partial</x:v>
      </x:c>
      <x:c r="J88" s="21" t="str">
        <x:v>Not tested</x:v>
      </x:c>
      <x:c r="K88" s="21" t="str"/>
      <x:c r="L88" s="21" t="str">
        <x:v>Checklist inventory correction: spell_slot_3 first becomes available at class level 5; it is not part of the level-1 mini-MVP gate. Its Not tested status is intentionally preserved for the later-level phase.</x:v>
      </x:c>
    </x:row>
    <x:row r="89" ht="48" customHeight="1">
      <x:c r="A89" s="21" t="str">
        <x:v>Волшебник</x:v>
      </x:c>
      <x:c r="B89" s="21" t="str">
        <x:v>CLASS-wizard</x:v>
      </x:c>
      <x:c r="C89" s="21" t="str">
        <x:v>d3b22b24-a4f1-4dab-8038-c89bfee62843</x:v>
      </x:c>
      <x:c r="D89" s="21" t="n">
        <x:v>7</x:v>
      </x:c>
      <x:c r="E89" s="21" t="str">
        <x:v>Resource</x:v>
      </x:c>
      <x:c r="F89" s="21" t="str">
        <x:v>spell_slot_4</x:v>
      </x:c>
      <x:c r="G89" s="21" t="str"/>
      <x:c r="H89" s="21" t="str">
        <x:v>{"by_level":{"7":1,"8":2,"9":3},"per":"long_rest"}</x:v>
      </x:c>
      <x:c r="I89" s="21" t="str">
        <x:v>verified_partial</x:v>
      </x:c>
      <x:c r="J89" s="21" t="str">
        <x:v>Not tested</x:v>
      </x:c>
      <x:c r="K89" s="21" t="str"/>
      <x:c r="L89" s="21" t="str">
        <x:v>Checklist inventory correction: spell_slot_4 first becomes available at class level 7; it is not part of the level-1 mini-MVP gate. Its Not tested status is intentionally preserved for the later-level phase.</x:v>
      </x:c>
    </x:row>
    <x:row r="90" ht="48" customHeight="1">
      <x:c r="A90" s="21" t="str">
        <x:v>Волшебник</x:v>
      </x:c>
      <x:c r="B90" s="21" t="str">
        <x:v>CLASS-wizard</x:v>
      </x:c>
      <x:c r="C90" s="21" t="str">
        <x:v>d3b22b24-a4f1-4dab-8038-c89bfee62843</x:v>
      </x:c>
      <x:c r="D90" s="21" t="n">
        <x:v>9</x:v>
      </x:c>
      <x:c r="E90" s="21" t="str">
        <x:v>Resource</x:v>
      </x:c>
      <x:c r="F90" s="21" t="str">
        <x:v>spell_slot_5</x:v>
      </x:c>
      <x:c r="G90" s="21" t="str"/>
      <x:c r="H90" s="21" t="str">
        <x:v>{"by_level":{"9":1,"10":2,"18":3},"per":"long_rest"}</x:v>
      </x:c>
      <x:c r="I90" s="21" t="str">
        <x:v>verified_partial</x:v>
      </x:c>
      <x:c r="J90" s="21" t="str">
        <x:v>Not tested</x:v>
      </x:c>
      <x:c r="K90" s="21" t="str"/>
      <x:c r="L90" s="21" t="str">
        <x:v>Checklist inventory correction: spell_slot_5 first becomes available at class level 9; it is not part of the level-1 mini-MVP gate. Its Not tested status is intentionally preserved for the later-level phase.</x:v>
      </x:c>
    </x:row>
    <x:row r="91" ht="48" customHeight="1">
      <x:c r="A91" s="21" t="str">
        <x:v>Волшебник</x:v>
      </x:c>
      <x:c r="B91" s="21" t="str">
        <x:v>CLASS-wizard</x:v>
      </x:c>
      <x:c r="C91" s="21" t="str">
        <x:v>d3b22b24-a4f1-4dab-8038-c89bfee62843</x:v>
      </x:c>
      <x:c r="D91" s="21" t="n">
        <x:v>11</x:v>
      </x:c>
      <x:c r="E91" s="21" t="str">
        <x:v>Resource</x:v>
      </x:c>
      <x:c r="F91" s="21" t="str">
        <x:v>spell_slot_6</x:v>
      </x:c>
      <x:c r="G91" s="21" t="str"/>
      <x:c r="H91" s="21" t="str">
        <x:v>{"by_level":{"11":1,"19":2},"per":"long_rest"}</x:v>
      </x:c>
      <x:c r="I91" s="21" t="str">
        <x:v>verified_partial</x:v>
      </x:c>
      <x:c r="J91" s="21" t="str">
        <x:v>Not tested</x:v>
      </x:c>
      <x:c r="K91" s="21" t="str"/>
      <x:c r="L91" s="21" t="str">
        <x:v>Checklist inventory correction: spell_slot_6 first becomes available at class level 11; it is not part of the level-1 mini-MVP gate. Its Not tested status is intentionally preserved for the later-level phase.</x:v>
      </x:c>
    </x:row>
    <x:row r="92" ht="48" customHeight="1">
      <x:c r="A92" s="21" t="str">
        <x:v>Волшебник</x:v>
      </x:c>
      <x:c r="B92" s="21" t="str">
        <x:v>CLASS-wizard</x:v>
      </x:c>
      <x:c r="C92" s="21" t="str">
        <x:v>d3b22b24-a4f1-4dab-8038-c89bfee62843</x:v>
      </x:c>
      <x:c r="D92" s="21" t="n">
        <x:v>13</x:v>
      </x:c>
      <x:c r="E92" s="21" t="str">
        <x:v>Resource</x:v>
      </x:c>
      <x:c r="F92" s="21" t="str">
        <x:v>spell_slot_7</x:v>
      </x:c>
      <x:c r="G92" s="21" t="str"/>
      <x:c r="H92" s="21" t="str">
        <x:v>{"by_level":{"13":1,"20":2},"per":"long_rest"}</x:v>
      </x:c>
      <x:c r="I92" s="21" t="str">
        <x:v>verified_partial</x:v>
      </x:c>
      <x:c r="J92" s="21" t="str">
        <x:v>Not tested</x:v>
      </x:c>
      <x:c r="K92" s="21" t="str"/>
      <x:c r="L92" s="21" t="str">
        <x:v>Checklist inventory correction: spell_slot_7 first becomes available at class level 13; it is not part of the level-1 mini-MVP gate. Its Not tested status is intentionally preserved for the later-level phase.</x:v>
      </x:c>
    </x:row>
    <x:row r="93" ht="48" customHeight="1">
      <x:c r="A93" s="21" t="str">
        <x:v>Волшебник</x:v>
      </x:c>
      <x:c r="B93" s="21" t="str">
        <x:v>CLASS-wizard</x:v>
      </x:c>
      <x:c r="C93" s="21" t="str">
        <x:v>d3b22b24-a4f1-4dab-8038-c89bfee62843</x:v>
      </x:c>
      <x:c r="D93" s="21" t="n">
        <x:v>15</x:v>
      </x:c>
      <x:c r="E93" s="21" t="str">
        <x:v>Resource</x:v>
      </x:c>
      <x:c r="F93" s="21" t="str">
        <x:v>spell_slot_8</x:v>
      </x:c>
      <x:c r="G93" s="21" t="str"/>
      <x:c r="H93" s="21" t="str">
        <x:v>{"by_level":{"15":1},"per":"long_rest"}</x:v>
      </x:c>
      <x:c r="I93" s="21" t="str">
        <x:v>verified_partial</x:v>
      </x:c>
      <x:c r="J93" s="21" t="str">
        <x:v>Not tested</x:v>
      </x:c>
      <x:c r="K93" s="21" t="str"/>
      <x:c r="L93" s="21" t="str">
        <x:v>Checklist inventory correction: spell_slot_8 first becomes available at class level 15; it is not part of the level-1 mini-MVP gate. Its Not tested status is intentionally preserved for the later-level phase.</x:v>
      </x:c>
    </x:row>
    <x:row r="94" ht="48" customHeight="1">
      <x:c r="A94" s="21" t="str">
        <x:v>Волшебник</x:v>
      </x:c>
      <x:c r="B94" s="21" t="str">
        <x:v>CLASS-wizard</x:v>
      </x:c>
      <x:c r="C94" s="21" t="str">
        <x:v>d3b22b24-a4f1-4dab-8038-c89bfee62843</x:v>
      </x:c>
      <x:c r="D94" s="21" t="n">
        <x:v>17</x:v>
      </x:c>
      <x:c r="E94" s="21" t="str">
        <x:v>Resource</x:v>
      </x:c>
      <x:c r="F94" s="21" t="str">
        <x:v>spell_slot_9</x:v>
      </x:c>
      <x:c r="G94" s="21" t="str"/>
      <x:c r="H94" s="21" t="str">
        <x:v>{"by_level":{"17":1},"per":"long_rest"}</x:v>
      </x:c>
      <x:c r="I94" s="21" t="str">
        <x:v>verified_partial</x:v>
      </x:c>
      <x:c r="J94" s="21" t="str">
        <x:v>Not tested</x:v>
      </x:c>
      <x:c r="K94" s="21" t="str"/>
      <x:c r="L94" s="21" t="str">
        <x:v>Checklist inventory correction: spell_slot_9 first becomes available at class level 17; it is not part of the level-1 mini-MVP gate. Its Not tested status is intentionally preserved for the later-level phase.</x:v>
      </x:c>
    </x:row>
    <x:row r="95" ht="48" customHeight="1">
      <x:c r="A95" s="21" t="str">
        <x:v>Волшебник</x:v>
      </x:c>
      <x:c r="B95" s="21" t="str">
        <x:v>CLASS-wizard</x:v>
      </x:c>
      <x:c r="C95" s="21" t="str">
        <x:v>d3b22b24-a4f1-4dab-8038-c89bfee62843</x:v>
      </x:c>
      <x:c r="D95" s="21" t="n">
        <x:v>1</x:v>
      </x:c>
      <x:c r="E95" s="21" t="str">
        <x:v>Action</x:v>
      </x:c>
      <x:c r="F95" s="21" t="str">
        <x:v>Магическое восстановление</x:v>
      </x:c>
      <x:c r="G95" s="21" t="str">
        <x:v>ACTION-0001 · a86819e4-ab9e-4a74-bdde-957e7e3e9f1f</x:v>
      </x:c>
      <x:c r="H95" s="21" t="str">
        <x:v>Вы восстанавливаете ячейку :spell_slot: 1-го уровня. | Activation: rest_decision; cost magic_recovery_charge | Effects: []</x:v>
      </x:c>
      <x:c r="I95" s="21" t="str">
        <x:v>verified_mechanical</x:v>
      </x:c>
      <x:c r="J95" s="21" t="str">
        <x:v>Passed</x:v>
      </x:c>
      <x:c r="K95" s="21" t="str">
        <x:v>356f2df5-2593-4b3d-a249-ebe72cbc42a5</x:v>
      </x:c>
      <x:c r="L9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96" ht="48" customHeight="1">
      <x:c r="A96" s="21" t="str">
        <x:v>Волшебник</x:v>
      </x:c>
      <x:c r="B96" s="21" t="str">
        <x:v>CLASS-wizard</x:v>
      </x:c>
      <x:c r="C96" s="21" t="str">
        <x:v>d3b22b24-a4f1-4dab-8038-c89bfee62843</x:v>
      </x:c>
      <x:c r="D96" s="21" t="n">
        <x:v>1</x:v>
      </x:c>
      <x:c r="E96" s="21" t="str">
        <x:v>Effect</x:v>
      </x:c>
      <x:c r="F96" s="21" t="str">
        <x:v>Использование заклинаний</x:v>
      </x:c>
      <x:c r="G96" s="21" t="str">
        <x:v>EFF-wizard-spellcasting · bcb05701-70ac-4b48-8e60-4cf46f6ea544</x:v>
      </x:c>
      <x:c r="H96" s="21" t="str">
        <x:v>Подготовка и сотворение заклинаний из книги заклинаний. | Activation: passive | Effects: [{"resolution":"auto","result":[{"ability":"int","kind":"spellcasting_ability","role":"primary"},{"description":"Подготовка заклинаний из книги заклинаний. INT — характеристика заклинаний.","kind":"narrative"}]},{"count":3,"grant":{"kind":"grant_spell","label":"cantrip"},"id":"wizard_cantrips","kind":"choice","options":{"filter":{"classes":["волшебник"],"levels":[0]},"source":"spell"},"prompt":"Выберите 3 заговора волшебника","recommended":["50626b5a-33c5-46e0-af0e-50599f4306a0","70e35366-5446-49ff-b0b9-759dbbff34…</x:v>
      </x:c>
      <x:c r="I96" s="21" t="str">
        <x:v>verified_mechanical</x:v>
      </x:c>
      <x:c r="J96" s="21" t="str">
        <x:v>Passed</x:v>
      </x:c>
      <x:c r="K96" s="21" t="str">
        <x:v>356f2df5-2593-4b3d-a249-ebe72cbc42a5</x:v>
      </x:c>
      <x:c r="L9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97" ht="48" customHeight="1">
      <x:c r="A97" s="21" t="str">
        <x:v>Волшебник</x:v>
      </x:c>
      <x:c r="B97" s="21" t="str">
        <x:v>CLASS-wizard</x:v>
      </x:c>
      <x:c r="C97" s="21" t="str">
        <x:v>d3b22b24-a4f1-4dab-8038-c89bfee62843</x:v>
      </x:c>
      <x:c r="D97" s="21" t="n">
        <x:v>2</x:v>
      </x:c>
      <x:c r="E97" s="21" t="str">
        <x:v>Effect</x:v>
      </x:c>
      <x:c r="F97" s="21" t="str">
        <x:v>Учёный</x:v>
      </x:c>
      <x:c r="G97" s="21" t="str">
        <x:v>EFF-wizard-scholar · b2aae633-f98f-46ea-aa31-603b547ab81f</x:v>
      </x:c>
      <x:c r="H97" s="21" t="str">
        <x:v>Экспертиза или каллиграфия на 2 уровне. | Activation: passive | Effects: [{"resolution":"auto","result":[{"description":"Выберите навык: экспертиза или владение инструментом каллиграфа.","kind":"narrative"}]}]</x:v>
      </x:c>
      <x:c r="I97" s="21" t="str">
        <x:v>verified_mechanical</x:v>
      </x:c>
      <x:c r="J97" s="21" t="str">
        <x:v>Not tested</x:v>
      </x:c>
      <x:c r="K97" s="21" t="str"/>
      <x:c r="L97" s="21" t="str"/>
    </x:row>
    <x:row r="98" ht="48" customHeight="1">
      <x:c r="A98" s="21" t="str">
        <x:v>Волшебник</x:v>
      </x:c>
      <x:c r="B98" s="21" t="str">
        <x:v>CLASS-wizard</x:v>
      </x:c>
      <x:c r="C98" s="21" t="str">
        <x:v>d3b22b24-a4f1-4dab-8038-c89bfee62843</x:v>
      </x:c>
      <x:c r="D98" s="21" t="n">
        <x:v>2</x:v>
      </x:c>
      <x:c r="E98" s="21" t="str">
        <x:v>Effect</x:v>
      </x:c>
      <x:c r="F98" s="21" t="str">
        <x:v>Заклинания Волшебника</x:v>
      </x:c>
      <x:c r="G98" s="21" t="str">
        <x:v>wizard_spells_2 · 3f2018cc-15fc-4534-b4e7-5a631ee61883</x:v>
      </x:c>
      <x:c r="H98"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98" s="21" t="str">
        <x:v>verified_mechanical</x:v>
      </x:c>
      <x:c r="J98" s="21" t="str">
        <x:v>Not tested</x:v>
      </x:c>
      <x:c r="K98" s="21" t="str"/>
      <x:c r="L98" s="21" t="str"/>
    </x:row>
    <x:row r="99" ht="48" customHeight="1">
      <x:c r="A99" s="21" t="str">
        <x:v>Волшебник</x:v>
      </x:c>
      <x:c r="B99" s="21" t="str">
        <x:v>CLASS-wizard</x:v>
      </x:c>
      <x:c r="C99" s="21" t="str">
        <x:v>d3b22b24-a4f1-4dab-8038-c89bfee62843</x:v>
      </x:c>
      <x:c r="D99" s="21" t="n">
        <x:v>3</x:v>
      </x:c>
      <x:c r="E99" s="21" t="str">
        <x:v>Effect</x:v>
      </x:c>
      <x:c r="F99" s="21" t="str">
        <x:v>Заклинания Волшебника</x:v>
      </x:c>
      <x:c r="G99" s="21" t="str">
        <x:v>wizard_spells_2 · 3f2018cc-15fc-4534-b4e7-5a631ee61883</x:v>
      </x:c>
      <x:c r="H99"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99" s="21" t="str">
        <x:v>verified_mechanical</x:v>
      </x:c>
      <x:c r="J99" s="21" t="str">
        <x:v>Not tested</x:v>
      </x:c>
      <x:c r="K99" s="21" t="str"/>
      <x:c r="L99" s="21" t="str"/>
    </x:row>
    <x:row r="100" ht="48" customHeight="1">
      <x:c r="A100" s="21" t="str">
        <x:v>Волшебник</x:v>
      </x:c>
      <x:c r="B100" s="21" t="str">
        <x:v>CLASS-wizard</x:v>
      </x:c>
      <x:c r="C100" s="21" t="str">
        <x:v>d3b22b24-a4f1-4dab-8038-c89bfee62843</x:v>
      </x:c>
      <x:c r="D100" s="21" t="n">
        <x:v>4</x:v>
      </x:c>
      <x:c r="E100" s="21" t="str">
        <x:v>Effect</x:v>
      </x:c>
      <x:c r="F100" s="21" t="str">
        <x:v>Получение черты</x:v>
      </x:c>
      <x:c r="G100" s="21" t="str">
        <x:v>pf_1 · 5dbd9afb-b125-4038-9d51-54819757c777</x:v>
      </x:c>
      <x:c r="H100"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100" s="21" t="str">
        <x:v>verified_mechanical</x:v>
      </x:c>
      <x:c r="J100" s="21" t="str">
        <x:v>Not tested</x:v>
      </x:c>
      <x:c r="K100" s="21" t="str"/>
      <x:c r="L100" s="21" t="str"/>
    </x:row>
    <x:row r="101" ht="48" customHeight="1">
      <x:c r="A101" s="21" t="str">
        <x:v>Волшебник</x:v>
      </x:c>
      <x:c r="B101" s="21" t="str">
        <x:v>CLASS-wizard</x:v>
      </x:c>
      <x:c r="C101" s="21" t="str">
        <x:v>d3b22b24-a4f1-4dab-8038-c89bfee62843</x:v>
      </x:c>
      <x:c r="D101" s="21" t="n">
        <x:v>4</x:v>
      </x:c>
      <x:c r="E101" s="21" t="str">
        <x:v>Effect</x:v>
      </x:c>
      <x:c r="F101" s="21" t="str">
        <x:v>Заклинания Волшебника</x:v>
      </x:c>
      <x:c r="G101" s="21" t="str">
        <x:v>wizard_spells_2 · 3f2018cc-15fc-4534-b4e7-5a631ee61883</x:v>
      </x:c>
      <x:c r="H101"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1" s="21" t="str">
        <x:v>verified_mechanical</x:v>
      </x:c>
      <x:c r="J101" s="21" t="str">
        <x:v>Not tested</x:v>
      </x:c>
      <x:c r="K101" s="21" t="str"/>
      <x:c r="L101" s="21" t="str"/>
    </x:row>
    <x:row r="102" ht="48" customHeight="1">
      <x:c r="A102" s="21" t="str">
        <x:v>Волшебник</x:v>
      </x:c>
      <x:c r="B102" s="21" t="str">
        <x:v>CLASS-wizard</x:v>
      </x:c>
      <x:c r="C102" s="21" t="str">
        <x:v>d3b22b24-a4f1-4dab-8038-c89bfee62843</x:v>
      </x:c>
      <x:c r="D102" s="21" t="n">
        <x:v>4</x:v>
      </x:c>
      <x:c r="E102" s="21" t="str">
        <x:v>Effect</x:v>
      </x:c>
      <x:c r="F102" s="21" t="str">
        <x:v>Заговоры Волшебника</x:v>
      </x:c>
      <x:c r="G102" s="21" t="str">
        <x:v>EFFECT-0258 · e8ca2959-e3d6-4cd9-be54-1ebf32ae78a1</x:v>
      </x:c>
      <x:c r="H102" s="21" t="str">
        <x:v>При получении некоторых уровней, вы выбираете ещё один заговор в книгу заклинаний. | Activation: passive | Effects: [{"count":1,"grant":{"kind":"grant_spell","label":"spellbook"},"id":"wizard_spellbook_level_1","kind":"choice","options":{"filter":{"classes":["волшебник"],"levels":[0]},"source":"spell"},"prompt":"Выберите 2 заклинания","resolution":"on_acquire"}]</x:v>
      </x:c>
      <x:c r="I102" s="21" t="str">
        <x:v>verified_mechanical</x:v>
      </x:c>
      <x:c r="J102" s="21" t="str">
        <x:v>Not tested</x:v>
      </x:c>
      <x:c r="K102" s="21" t="str"/>
      <x:c r="L102" s="21" t="str"/>
    </x:row>
    <x:row r="103" ht="48" customHeight="1">
      <x:c r="A103" s="21" t="str">
        <x:v>Волшебник</x:v>
      </x:c>
      <x:c r="B103" s="21" t="str">
        <x:v>CLASS-wizard</x:v>
      </x:c>
      <x:c r="C103" s="21" t="str">
        <x:v>d3b22b24-a4f1-4dab-8038-c89bfee62843</x:v>
      </x:c>
      <x:c r="D103" s="21" t="n">
        <x:v>5</x:v>
      </x:c>
      <x:c r="E103" s="21" t="str">
        <x:v>Effect</x:v>
      </x:c>
      <x:c r="F103" s="21" t="str">
        <x:v>Заклинания Волшебника</x:v>
      </x:c>
      <x:c r="G103" s="21" t="str">
        <x:v>wizard_spells_2 · 3f2018cc-15fc-4534-b4e7-5a631ee61883</x:v>
      </x:c>
      <x:c r="H103"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3" s="21" t="str">
        <x:v>verified_mechanical</x:v>
      </x:c>
      <x:c r="J103" s="21" t="str">
        <x:v>Not tested</x:v>
      </x:c>
      <x:c r="K103" s="21" t="str"/>
      <x:c r="L103" s="21" t="str"/>
    </x:row>
    <x:row r="104" ht="48" customHeight="1">
      <x:c r="A104" s="21" t="str">
        <x:v>Волшебник</x:v>
      </x:c>
      <x:c r="B104" s="21" t="str">
        <x:v>CLASS-wizard</x:v>
      </x:c>
      <x:c r="C104" s="21" t="str">
        <x:v>d3b22b24-a4f1-4dab-8038-c89bfee62843</x:v>
      </x:c>
      <x:c r="D104" s="21" t="n">
        <x:v>6</x:v>
      </x:c>
      <x:c r="E104" s="21" t="str">
        <x:v>Effect</x:v>
      </x:c>
      <x:c r="F104" s="21" t="str">
        <x:v>Заклинания Волшебника</x:v>
      </x:c>
      <x:c r="G104" s="21" t="str">
        <x:v>wizard_spells_2 · 3f2018cc-15fc-4534-b4e7-5a631ee61883</x:v>
      </x:c>
      <x:c r="H104"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4" s="21" t="str">
        <x:v>verified_mechanical</x:v>
      </x:c>
      <x:c r="J104" s="21" t="str">
        <x:v>Not tested</x:v>
      </x:c>
      <x:c r="K104" s="21" t="str"/>
      <x:c r="L104" s="21" t="str"/>
    </x:row>
    <x:row r="105" ht="48" customHeight="1">
      <x:c r="A105" s="21" t="str">
        <x:v>Волшебник</x:v>
      </x:c>
      <x:c r="B105" s="21" t="str">
        <x:v>CLASS-wizard</x:v>
      </x:c>
      <x:c r="C105" s="21" t="str">
        <x:v>d3b22b24-a4f1-4dab-8038-c89bfee62843</x:v>
      </x:c>
      <x:c r="D105" s="21" t="n">
        <x:v>7</x:v>
      </x:c>
      <x:c r="E105" s="21" t="str">
        <x:v>Effect</x:v>
      </x:c>
      <x:c r="F105" s="21" t="str">
        <x:v>Заклинания Волшебника</x:v>
      </x:c>
      <x:c r="G105" s="21" t="str">
        <x:v>wizard_spells_2 · 3f2018cc-15fc-4534-b4e7-5a631ee61883</x:v>
      </x:c>
      <x:c r="H105"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5" s="21" t="str">
        <x:v>verified_mechanical</x:v>
      </x:c>
      <x:c r="J105" s="21" t="str">
        <x:v>Not tested</x:v>
      </x:c>
      <x:c r="K105" s="21" t="str"/>
      <x:c r="L105" s="21" t="str"/>
    </x:row>
    <x:row r="106" ht="48" customHeight="1">
      <x:c r="A106" s="21" t="str">
        <x:v>Волшебник</x:v>
      </x:c>
      <x:c r="B106" s="21" t="str">
        <x:v>CLASS-wizard</x:v>
      </x:c>
      <x:c r="C106" s="21" t="str">
        <x:v>d3b22b24-a4f1-4dab-8038-c89bfee62843</x:v>
      </x:c>
      <x:c r="D106" s="21" t="n">
        <x:v>8</x:v>
      </x:c>
      <x:c r="E106" s="21" t="str">
        <x:v>Effect</x:v>
      </x:c>
      <x:c r="F106" s="21" t="str">
        <x:v>Получение черты · слот 2</x:v>
      </x:c>
      <x:c r="G106" s="21" t="str">
        <x:v>pf_2 · 55689cd6-f67f-4368-8a96-53bc134fd78b</x:v>
      </x:c>
      <x:c r="H106" s="21" t="str">
        <x:v>Получение черты · слот 2 | Activation: passive | Effects: [{"grant":{"kind":"grant_feat"},"id":"gain_feat","kind":"choice","options":{"categories":["origin","general"],"source":"feat"},"prompt":"Получение черты"}]</x:v>
      </x:c>
      <x:c r="I106" s="21" t="str">
        <x:v>verified_mechanical</x:v>
      </x:c>
      <x:c r="J106" s="21" t="str">
        <x:v>Not tested</x:v>
      </x:c>
      <x:c r="K106" s="21" t="str"/>
      <x:c r="L106" s="21" t="str"/>
    </x:row>
    <x:row r="107" ht="48" customHeight="1">
      <x:c r="A107" s="21" t="str">
        <x:v>Волшебник</x:v>
      </x:c>
      <x:c r="B107" s="21" t="str">
        <x:v>CLASS-wizard</x:v>
      </x:c>
      <x:c r="C107" s="21" t="str">
        <x:v>d3b22b24-a4f1-4dab-8038-c89bfee62843</x:v>
      </x:c>
      <x:c r="D107" s="21" t="n">
        <x:v>8</x:v>
      </x:c>
      <x:c r="E107" s="21" t="str">
        <x:v>Effect</x:v>
      </x:c>
      <x:c r="F107" s="21" t="str">
        <x:v>Заклинания Волшебника</x:v>
      </x:c>
      <x:c r="G107" s="21" t="str">
        <x:v>wizard_spells_2 · 3f2018cc-15fc-4534-b4e7-5a631ee61883</x:v>
      </x:c>
      <x:c r="H107"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7" s="21" t="str">
        <x:v>verified_mechanical</x:v>
      </x:c>
      <x:c r="J107" s="21" t="str">
        <x:v>Not tested</x:v>
      </x:c>
      <x:c r="K107" s="21" t="str"/>
      <x:c r="L107" s="21" t="str"/>
    </x:row>
    <x:row r="108" ht="48" customHeight="1">
      <x:c r="A108" s="21" t="str">
        <x:v>Волшебник</x:v>
      </x:c>
      <x:c r="B108" s="21" t="str">
        <x:v>CLASS-wizard</x:v>
      </x:c>
      <x:c r="C108" s="21" t="str">
        <x:v>d3b22b24-a4f1-4dab-8038-c89bfee62843</x:v>
      </x:c>
      <x:c r="D108" s="21" t="n">
        <x:v>9</x:v>
      </x:c>
      <x:c r="E108" s="21" t="str">
        <x:v>Effect</x:v>
      </x:c>
      <x:c r="F108" s="21" t="str">
        <x:v>Заклинания Волшебника</x:v>
      </x:c>
      <x:c r="G108" s="21" t="str">
        <x:v>wizard_spells_2 · 3f2018cc-15fc-4534-b4e7-5a631ee61883</x:v>
      </x:c>
      <x:c r="H108"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8" s="21" t="str">
        <x:v>verified_mechanical</x:v>
      </x:c>
      <x:c r="J108" s="21" t="str">
        <x:v>Not tested</x:v>
      </x:c>
      <x:c r="K108" s="21" t="str"/>
      <x:c r="L108" s="21" t="str"/>
    </x:row>
    <x:row r="109" ht="48" customHeight="1">
      <x:c r="A109" s="21" t="str">
        <x:v>Волшебник</x:v>
      </x:c>
      <x:c r="B109" s="21" t="str">
        <x:v>CLASS-wizard</x:v>
      </x:c>
      <x:c r="C109" s="21" t="str">
        <x:v>d3b22b24-a4f1-4dab-8038-c89bfee62843</x:v>
      </x:c>
      <x:c r="D109" s="21" t="n">
        <x:v>10</x:v>
      </x:c>
      <x:c r="E109" s="21" t="str">
        <x:v>Effect</x:v>
      </x:c>
      <x:c r="F109" s="21" t="str">
        <x:v>Заклинания Волшебника</x:v>
      </x:c>
      <x:c r="G109" s="21" t="str">
        <x:v>wizard_spells_2 · 3f2018cc-15fc-4534-b4e7-5a631ee61883</x:v>
      </x:c>
      <x:c r="H109"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09" s="21" t="str">
        <x:v>verified_mechanical</x:v>
      </x:c>
      <x:c r="J109" s="21" t="str">
        <x:v>Not tested</x:v>
      </x:c>
      <x:c r="K109" s="21" t="str"/>
      <x:c r="L109" s="21" t="str"/>
    </x:row>
    <x:row r="110" ht="48" customHeight="1">
      <x:c r="A110" s="21" t="str">
        <x:v>Волшебник</x:v>
      </x:c>
      <x:c r="B110" s="21" t="str">
        <x:v>CLASS-wizard</x:v>
      </x:c>
      <x:c r="C110" s="21" t="str">
        <x:v>d3b22b24-a4f1-4dab-8038-c89bfee62843</x:v>
      </x:c>
      <x:c r="D110" s="21" t="n">
        <x:v>10</x:v>
      </x:c>
      <x:c r="E110" s="21" t="str">
        <x:v>Effect</x:v>
      </x:c>
      <x:c r="F110" s="21" t="str">
        <x:v>Заговоры Волшебника</x:v>
      </x:c>
      <x:c r="G110" s="21" t="str">
        <x:v>EFFECT-0258 · e8ca2959-e3d6-4cd9-be54-1ebf32ae78a1</x:v>
      </x:c>
      <x:c r="H110" s="21" t="str">
        <x:v>При получении некоторых уровней, вы выбираете ещё один заговор в книгу заклинаний. | Activation: passive | Effects: [{"count":1,"grant":{"kind":"grant_spell","label":"spellbook"},"id":"wizard_spellbook_level_1","kind":"choice","options":{"filter":{"classes":["волшебник"],"levels":[0]},"source":"spell"},"prompt":"Выберите 2 заклинания","resolution":"on_acquire"}]</x:v>
      </x:c>
      <x:c r="I110" s="21" t="str">
        <x:v>verified_mechanical</x:v>
      </x:c>
      <x:c r="J110" s="21" t="str">
        <x:v>Not tested</x:v>
      </x:c>
      <x:c r="K110" s="21" t="str"/>
      <x:c r="L110" s="21" t="str"/>
    </x:row>
    <x:row r="111" ht="48" customHeight="1">
      <x:c r="A111" s="21" t="str">
        <x:v>Волшебник</x:v>
      </x:c>
      <x:c r="B111" s="21" t="str">
        <x:v>CLASS-wizard</x:v>
      </x:c>
      <x:c r="C111" s="21" t="str">
        <x:v>d3b22b24-a4f1-4dab-8038-c89bfee62843</x:v>
      </x:c>
      <x:c r="D111" s="21" t="n">
        <x:v>11</x:v>
      </x:c>
      <x:c r="E111" s="21" t="str">
        <x:v>Effect</x:v>
      </x:c>
      <x:c r="F111" s="21" t="str">
        <x:v>Заклинания Волшебника</x:v>
      </x:c>
      <x:c r="G111" s="21" t="str">
        <x:v>wizard_spells_2 · 3f2018cc-15fc-4534-b4e7-5a631ee61883</x:v>
      </x:c>
      <x:c r="H111"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1" s="21" t="str">
        <x:v>verified_mechanical</x:v>
      </x:c>
      <x:c r="J111" s="21" t="str">
        <x:v>Not tested</x:v>
      </x:c>
      <x:c r="K111" s="21" t="str"/>
      <x:c r="L111" s="21" t="str"/>
    </x:row>
    <x:row r="112" ht="48" customHeight="1">
      <x:c r="A112" s="21" t="str">
        <x:v>Волшебник</x:v>
      </x:c>
      <x:c r="B112" s="21" t="str">
        <x:v>CLASS-wizard</x:v>
      </x:c>
      <x:c r="C112" s="21" t="str">
        <x:v>d3b22b24-a4f1-4dab-8038-c89bfee62843</x:v>
      </x:c>
      <x:c r="D112" s="21" t="n">
        <x:v>12</x:v>
      </x:c>
      <x:c r="E112" s="21" t="str">
        <x:v>Effect</x:v>
      </x:c>
      <x:c r="F112" s="21" t="str">
        <x:v>Получение черты · слот 3</x:v>
      </x:c>
      <x:c r="G112" s="21" t="str">
        <x:v>pf_3 · 6ec4b5ab-4abc-47af-b45a-560ca2a1bb07</x:v>
      </x:c>
      <x:c r="H112" s="21" t="str">
        <x:v>Получение черты · слот 3 | Activation: passive | Effects: [{"grant":{"kind":"grant_feat"},"id":"gain_feat","kind":"choice","options":{"categories":["origin","general"],"source":"feat"},"prompt":"Получение черты"}]</x:v>
      </x:c>
      <x:c r="I112" s="21" t="str">
        <x:v>verified_mechanical</x:v>
      </x:c>
      <x:c r="J112" s="21" t="str">
        <x:v>Not tested</x:v>
      </x:c>
      <x:c r="K112" s="21" t="str"/>
      <x:c r="L112" s="21" t="str"/>
    </x:row>
    <x:row r="113" ht="48" customHeight="1">
      <x:c r="A113" s="21" t="str">
        <x:v>Волшебник</x:v>
      </x:c>
      <x:c r="B113" s="21" t="str">
        <x:v>CLASS-wizard</x:v>
      </x:c>
      <x:c r="C113" s="21" t="str">
        <x:v>d3b22b24-a4f1-4dab-8038-c89bfee62843</x:v>
      </x:c>
      <x:c r="D113" s="21" t="n">
        <x:v>12</x:v>
      </x:c>
      <x:c r="E113" s="21" t="str">
        <x:v>Effect</x:v>
      </x:c>
      <x:c r="F113" s="21" t="str">
        <x:v>Заклинания Волшебника</x:v>
      </x:c>
      <x:c r="G113" s="21" t="str">
        <x:v>wizard_spells_2 · 3f2018cc-15fc-4534-b4e7-5a631ee61883</x:v>
      </x:c>
      <x:c r="H113"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3" s="21" t="str">
        <x:v>verified_mechanical</x:v>
      </x:c>
      <x:c r="J113" s="21" t="str">
        <x:v>Not tested</x:v>
      </x:c>
      <x:c r="K113" s="21" t="str"/>
      <x:c r="L113" s="21" t="str"/>
    </x:row>
    <x:row r="114" ht="48" customHeight="1">
      <x:c r="A114" s="21" t="str">
        <x:v>Волшебник</x:v>
      </x:c>
      <x:c r="B114" s="21" t="str">
        <x:v>CLASS-wizard</x:v>
      </x:c>
      <x:c r="C114" s="21" t="str">
        <x:v>d3b22b24-a4f1-4dab-8038-c89bfee62843</x:v>
      </x:c>
      <x:c r="D114" s="21" t="n">
        <x:v>13</x:v>
      </x:c>
      <x:c r="E114" s="21" t="str">
        <x:v>Effect</x:v>
      </x:c>
      <x:c r="F114" s="21" t="str">
        <x:v>Заклинания Волшебника</x:v>
      </x:c>
      <x:c r="G114" s="21" t="str">
        <x:v>wizard_spells_2 · 3f2018cc-15fc-4534-b4e7-5a631ee61883</x:v>
      </x:c>
      <x:c r="H114"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4" s="21" t="str">
        <x:v>verified_mechanical</x:v>
      </x:c>
      <x:c r="J114" s="21" t="str">
        <x:v>Not tested</x:v>
      </x:c>
      <x:c r="K114" s="21" t="str"/>
      <x:c r="L114" s="21" t="str"/>
    </x:row>
    <x:row r="115" ht="48" customHeight="1">
      <x:c r="A115" s="21" t="str">
        <x:v>Волшебник</x:v>
      </x:c>
      <x:c r="B115" s="21" t="str">
        <x:v>CLASS-wizard</x:v>
      </x:c>
      <x:c r="C115" s="21" t="str">
        <x:v>d3b22b24-a4f1-4dab-8038-c89bfee62843</x:v>
      </x:c>
      <x:c r="D115" s="21" t="n">
        <x:v>14</x:v>
      </x:c>
      <x:c r="E115" s="21" t="str">
        <x:v>Effect</x:v>
      </x:c>
      <x:c r="F115" s="21" t="str">
        <x:v>Заклинания Волшебника</x:v>
      </x:c>
      <x:c r="G115" s="21" t="str">
        <x:v>wizard_spells_2 · 3f2018cc-15fc-4534-b4e7-5a631ee61883</x:v>
      </x:c>
      <x:c r="H115"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5" s="21" t="str">
        <x:v>verified_mechanical</x:v>
      </x:c>
      <x:c r="J115" s="21" t="str">
        <x:v>Not tested</x:v>
      </x:c>
      <x:c r="K115" s="21" t="str"/>
      <x:c r="L115" s="21" t="str"/>
    </x:row>
    <x:row r="116" ht="48" customHeight="1">
      <x:c r="A116" s="21" t="str">
        <x:v>Волшебник</x:v>
      </x:c>
      <x:c r="B116" s="21" t="str">
        <x:v>CLASS-wizard</x:v>
      </x:c>
      <x:c r="C116" s="21" t="str">
        <x:v>d3b22b24-a4f1-4dab-8038-c89bfee62843</x:v>
      </x:c>
      <x:c r="D116" s="21" t="n">
        <x:v>15</x:v>
      </x:c>
      <x:c r="E116" s="21" t="str">
        <x:v>Effect</x:v>
      </x:c>
      <x:c r="F116" s="21" t="str">
        <x:v>Заклинания Волшебника</x:v>
      </x:c>
      <x:c r="G116" s="21" t="str">
        <x:v>wizard_spells_2 · 3f2018cc-15fc-4534-b4e7-5a631ee61883</x:v>
      </x:c>
      <x:c r="H116"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6" s="21" t="str">
        <x:v>verified_mechanical</x:v>
      </x:c>
      <x:c r="J116" s="21" t="str">
        <x:v>Not tested</x:v>
      </x:c>
      <x:c r="K116" s="21" t="str"/>
      <x:c r="L116" s="21" t="str"/>
    </x:row>
    <x:row r="117" ht="48" customHeight="1">
      <x:c r="A117" s="21" t="str">
        <x:v>Волшебник</x:v>
      </x:c>
      <x:c r="B117" s="21" t="str">
        <x:v>CLASS-wizard</x:v>
      </x:c>
      <x:c r="C117" s="21" t="str">
        <x:v>d3b22b24-a4f1-4dab-8038-c89bfee62843</x:v>
      </x:c>
      <x:c r="D117" s="21" t="n">
        <x:v>16</x:v>
      </x:c>
      <x:c r="E117" s="21" t="str">
        <x:v>Effect</x:v>
      </x:c>
      <x:c r="F117" s="21" t="str">
        <x:v>Получение черты · слот 4</x:v>
      </x:c>
      <x:c r="G117" s="21" t="str">
        <x:v>pf_4 · f3a0400f-579f-4a68-8105-cfad1d862357</x:v>
      </x:c>
      <x:c r="H117" s="21" t="str">
        <x:v>Получение черты · слот 4 | Activation: passive | Effects: [{"grant":{"kind":"grant_feat"},"id":"gain_feat","kind":"choice","options":{"categories":["origin","general"],"source":"feat"},"prompt":"Получение черты"}]</x:v>
      </x:c>
      <x:c r="I117" s="21" t="str">
        <x:v>verified_mechanical</x:v>
      </x:c>
      <x:c r="J117" s="21" t="str">
        <x:v>Not tested</x:v>
      </x:c>
      <x:c r="K117" s="21" t="str"/>
      <x:c r="L117" s="21" t="str"/>
    </x:row>
    <x:row r="118" ht="48" customHeight="1">
      <x:c r="A118" s="21" t="str">
        <x:v>Волшебник</x:v>
      </x:c>
      <x:c r="B118" s="21" t="str">
        <x:v>CLASS-wizard</x:v>
      </x:c>
      <x:c r="C118" s="21" t="str">
        <x:v>d3b22b24-a4f1-4dab-8038-c89bfee62843</x:v>
      </x:c>
      <x:c r="D118" s="21" t="n">
        <x:v>16</x:v>
      </x:c>
      <x:c r="E118" s="21" t="str">
        <x:v>Effect</x:v>
      </x:c>
      <x:c r="F118" s="21" t="str">
        <x:v>Заклинания Волшебника</x:v>
      </x:c>
      <x:c r="G118" s="21" t="str">
        <x:v>wizard_spells_2 · 3f2018cc-15fc-4534-b4e7-5a631ee61883</x:v>
      </x:c>
      <x:c r="H118"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8" s="21" t="str">
        <x:v>verified_mechanical</x:v>
      </x:c>
      <x:c r="J118" s="21" t="str">
        <x:v>Not tested</x:v>
      </x:c>
      <x:c r="K118" s="21" t="str"/>
      <x:c r="L118" s="21" t="str"/>
    </x:row>
    <x:row r="119" ht="48" customHeight="1">
      <x:c r="A119" s="21" t="str">
        <x:v>Волшебник</x:v>
      </x:c>
      <x:c r="B119" s="21" t="str">
        <x:v>CLASS-wizard</x:v>
      </x:c>
      <x:c r="C119" s="21" t="str">
        <x:v>d3b22b24-a4f1-4dab-8038-c89bfee62843</x:v>
      </x:c>
      <x:c r="D119" s="21" t="n">
        <x:v>17</x:v>
      </x:c>
      <x:c r="E119" s="21" t="str">
        <x:v>Effect</x:v>
      </x:c>
      <x:c r="F119" s="21" t="str">
        <x:v>Заклинания Волшебника</x:v>
      </x:c>
      <x:c r="G119" s="21" t="str">
        <x:v>wizard_spells_2 · 3f2018cc-15fc-4534-b4e7-5a631ee61883</x:v>
      </x:c>
      <x:c r="H119"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19" s="21" t="str">
        <x:v>verified_mechanical</x:v>
      </x:c>
      <x:c r="J119" s="21" t="str">
        <x:v>Not tested</x:v>
      </x:c>
      <x:c r="K119" s="21" t="str"/>
      <x:c r="L119" s="21" t="str"/>
    </x:row>
    <x:row r="120" ht="48" customHeight="1">
      <x:c r="A120" s="21" t="str">
        <x:v>Волшебник</x:v>
      </x:c>
      <x:c r="B120" s="21" t="str">
        <x:v>CLASS-wizard</x:v>
      </x:c>
      <x:c r="C120" s="21" t="str">
        <x:v>d3b22b24-a4f1-4dab-8038-c89bfee62843</x:v>
      </x:c>
      <x:c r="D120" s="21" t="n">
        <x:v>18</x:v>
      </x:c>
      <x:c r="E120" s="21" t="str">
        <x:v>Effect</x:v>
      </x:c>
      <x:c r="F120" s="21" t="str">
        <x:v>Заклинания Волшебника</x:v>
      </x:c>
      <x:c r="G120" s="21" t="str">
        <x:v>wizard_spells_2 · 3f2018cc-15fc-4534-b4e7-5a631ee61883</x:v>
      </x:c>
      <x:c r="H120"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20" s="21" t="str">
        <x:v>verified_mechanical</x:v>
      </x:c>
      <x:c r="J120" s="21" t="str">
        <x:v>Not tested</x:v>
      </x:c>
      <x:c r="K120" s="21" t="str"/>
      <x:c r="L120" s="21" t="str"/>
    </x:row>
    <x:row r="121" ht="48" customHeight="1">
      <x:c r="A121" s="21" t="str">
        <x:v>Волшебник</x:v>
      </x:c>
      <x:c r="B121" s="21" t="str">
        <x:v>CLASS-wizard</x:v>
      </x:c>
      <x:c r="C121" s="21" t="str">
        <x:v>d3b22b24-a4f1-4dab-8038-c89bfee62843</x:v>
      </x:c>
      <x:c r="D121" s="21" t="n">
        <x:v>19</x:v>
      </x:c>
      <x:c r="E121" s="21" t="str">
        <x:v>Effect</x:v>
      </x:c>
      <x:c r="F121" s="21" t="str">
        <x:v>Получение черты · слот 5</x:v>
      </x:c>
      <x:c r="G121" s="21" t="str">
        <x:v>pf_5 · f5694b06-f2f8-40a7-8521-cc6bfe1e93c6</x:v>
      </x:c>
      <x:c r="H121" s="21" t="str">
        <x:v>Получение черты · слот 5 | Activation: passive | Effects: [{"grant":{"kind":"grant_feat"},"id":"gain_feat","kind":"choice","options":{"categories":["origin","general"],"source":"feat"},"prompt":"Получение черты"}]</x:v>
      </x:c>
      <x:c r="I121" s="21" t="str">
        <x:v>verified_mechanical</x:v>
      </x:c>
      <x:c r="J121" s="21" t="str">
        <x:v>Not tested</x:v>
      </x:c>
      <x:c r="K121" s="21" t="str"/>
      <x:c r="L121" s="21" t="str"/>
    </x:row>
    <x:row r="122" ht="48" customHeight="1">
      <x:c r="A122" s="21" t="str">
        <x:v>Волшебник</x:v>
      </x:c>
      <x:c r="B122" s="21" t="str">
        <x:v>CLASS-wizard</x:v>
      </x:c>
      <x:c r="C122" s="21" t="str">
        <x:v>d3b22b24-a4f1-4dab-8038-c89bfee62843</x:v>
      </x:c>
      <x:c r="D122" s="21" t="n">
        <x:v>19</x:v>
      </x:c>
      <x:c r="E122" s="21" t="str">
        <x:v>Effect</x:v>
      </x:c>
      <x:c r="F122" s="21" t="str">
        <x:v>Заклинания Волшебника</x:v>
      </x:c>
      <x:c r="G122" s="21" t="str">
        <x:v>wizard_spells_2 · 3f2018cc-15fc-4534-b4e7-5a631ee61883</x:v>
      </x:c>
      <x:c r="H122"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22" s="21" t="str">
        <x:v>verified_mechanical</x:v>
      </x:c>
      <x:c r="J122" s="21" t="str">
        <x:v>Not tested</x:v>
      </x:c>
      <x:c r="K122" s="21" t="str"/>
      <x:c r="L122" s="21" t="str"/>
    </x:row>
    <x:row r="123" ht="48" customHeight="1">
      <x:c r="A123" s="21" t="str">
        <x:v>Волшебник</x:v>
      </x:c>
      <x:c r="B123" s="21" t="str">
        <x:v>CLASS-wizard</x:v>
      </x:c>
      <x:c r="C123" s="21" t="str">
        <x:v>d3b22b24-a4f1-4dab-8038-c89bfee62843</x:v>
      </x:c>
      <x:c r="D123" s="21" t="n">
        <x:v>20</x:v>
      </x:c>
      <x:c r="E123" s="21" t="str">
        <x:v>Effect</x:v>
      </x:c>
      <x:c r="F123" s="21" t="str">
        <x:v>Заклинания Волшебника</x:v>
      </x:c>
      <x:c r="G123" s="21" t="str">
        <x:v>wizard_spells_2 · 3f2018cc-15fc-4534-b4e7-5a631ee61883</x:v>
      </x:c>
      <x:c r="H123" s="21" t="str">
        <x:v>При получении уровня, вы выбираете ещё два заклинания в книгу заклинаний. | Activation: passive | Effects: [{"count":2,"grant":{"kind":"grant_spell","label":"spellbook"},"id":"wizard_spellbook_level_1","kind":"choice","options":{"filter":{"classes":["волшебник"],"only_available_slots":true},"source":"spell"},"prompt":"Выберите 2 заклинания","resolution":"on_acquire"}]</x:v>
      </x:c>
      <x:c r="I123" s="21" t="str">
        <x:v>verified_mechanical</x:v>
      </x:c>
      <x:c r="J123" s="21" t="str">
        <x:v>Not tested</x:v>
      </x:c>
      <x:c r="K123" s="21" t="str"/>
      <x:c r="L123" s="21" t="str"/>
    </x:row>
    <x:row r="124" ht="48" customHeight="1">
      <x:c r="A124" s="21" t="str">
        <x:v>Друид</x:v>
      </x:c>
      <x:c r="B124" s="21" t="str">
        <x:v>CLASS-druid</x:v>
      </x:c>
      <x:c r="C124" s="21" t="str">
        <x:v>932a15ad-a7c5-4062-b13a-899933b94231</x:v>
      </x:c>
      <x:c r="D124" s="21" t="n">
        <x:v>1</x:v>
      </x:c>
      <x:c r="E124" s="21" t="str">
        <x:v>Class chassis</x:v>
      </x:c>
      <x:c r="F124" s="21" t="str">
        <x:v>Друид</x:v>
      </x:c>
      <x:c r="G124" s="21" t="str">
        <x:v>932a15ad-a7c5-4062-b13a-899933b94231</x:v>
      </x:c>
      <x:c r="H124" s="21" t="str">
        <x:v>Hit die d8; primary ["wis"]; saves ["int","wis"]; armor ["light","shields"]; weapons ["simple"]; skills {"count":2,"options":["arcana","animal_handling","insight","medicine","nature","perception","religion","survival"]}. Хранитель природы и первобытных сил.</x:v>
      </x:c>
      <x:c r="I124" s="21" t="str">
        <x:v>verified_partial</x:v>
      </x:c>
      <x:c r="J124" s="21" t="str">
        <x:v>Passed</x:v>
      </x:c>
      <x:c r="K124" s="21" t="str">
        <x:v>54b1ccd2-83f6-439e-bd85-1725bb713810</x:v>
      </x:c>
      <x:c r="L12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25" ht="48" customHeight="1">
      <x:c r="A125" s="21" t="str">
        <x:v>Друид</x:v>
      </x:c>
      <x:c r="B125" s="21" t="str">
        <x:v>CLASS-druid</x:v>
      </x:c>
      <x:c r="C125" s="21" t="str">
        <x:v>932a15ad-a7c5-4062-b13a-899933b94231</x:v>
      </x:c>
      <x:c r="D125" s="21" t="n">
        <x:v>1</x:v>
      </x:c>
      <x:c r="E125" s="21" t="str">
        <x:v>Resource</x:v>
      </x:c>
      <x:c r="F125" s="21" t="str">
        <x:v>spell_slot_1</x:v>
      </x:c>
      <x:c r="G125" s="21" t="str"/>
      <x:c r="H125" s="21" t="str">
        <x:v>{"by_level":{"1":2,"2":3,"3":4},"per":"long_rest"}</x:v>
      </x:c>
      <x:c r="I125" s="21" t="str">
        <x:v>verified_partial</x:v>
      </x:c>
      <x:c r="J125" s="21" t="str">
        <x:v>Passed</x:v>
      </x:c>
      <x:c r="K125" s="21" t="str">
        <x:v>54b1ccd2-83f6-439e-bd85-1725bb713810</x:v>
      </x:c>
      <x:c r="L12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26" ht="48" customHeight="1">
      <x:c r="A126" s="21" t="str">
        <x:v>Друид</x:v>
      </x:c>
      <x:c r="B126" s="21" t="str">
        <x:v>CLASS-druid</x:v>
      </x:c>
      <x:c r="C126" s="21" t="str">
        <x:v>932a15ad-a7c5-4062-b13a-899933b94231</x:v>
      </x:c>
      <x:c r="D126" s="21" t="n">
        <x:v>3</x:v>
      </x:c>
      <x:c r="E126" s="21" t="str">
        <x:v>Resource</x:v>
      </x:c>
      <x:c r="F126" s="21" t="str">
        <x:v>spell_slot_2</x:v>
      </x:c>
      <x:c r="G126" s="21" t="str"/>
      <x:c r="H126" s="21" t="str">
        <x:v>{"by_level":{"3":2,"4":3},"per":"long_rest"}</x:v>
      </x:c>
      <x:c r="I126" s="21" t="str">
        <x:v>verified_partial</x:v>
      </x:c>
      <x:c r="J126" s="21" t="str">
        <x:v>Not tested</x:v>
      </x:c>
      <x:c r="K126" s="21" t="str"/>
      <x:c r="L126" s="21" t="str">
        <x:v>Checklist inventory correction: spell_slot_2 first becomes available at class level 3; it is not part of the level-1 mini-MVP gate. Its Not tested status is intentionally preserved for the later-level phase.</x:v>
      </x:c>
    </x:row>
    <x:row r="127" ht="48" customHeight="1">
      <x:c r="A127" s="21" t="str">
        <x:v>Друид</x:v>
      </x:c>
      <x:c r="B127" s="21" t="str">
        <x:v>CLASS-druid</x:v>
      </x:c>
      <x:c r="C127" s="21" t="str">
        <x:v>932a15ad-a7c5-4062-b13a-899933b94231</x:v>
      </x:c>
      <x:c r="D127" s="21" t="n">
        <x:v>5</x:v>
      </x:c>
      <x:c r="E127" s="21" t="str">
        <x:v>Resource</x:v>
      </x:c>
      <x:c r="F127" s="21" t="str">
        <x:v>spell_slot_3</x:v>
      </x:c>
      <x:c r="G127" s="21" t="str"/>
      <x:c r="H127" s="21" t="str">
        <x:v>{"by_level":{"5":2,"6":3},"per":"long_rest"}</x:v>
      </x:c>
      <x:c r="I127" s="21" t="str">
        <x:v>verified_partial</x:v>
      </x:c>
      <x:c r="J127" s="21" t="str">
        <x:v>Not tested</x:v>
      </x:c>
      <x:c r="K127" s="21" t="str"/>
      <x:c r="L127" s="21" t="str">
        <x:v>Checklist inventory correction: spell_slot_3 first becomes available at class level 5; it is not part of the level-1 mini-MVP gate. Its Not tested status is intentionally preserved for the later-level phase.</x:v>
      </x:c>
    </x:row>
    <x:row r="128" ht="48" customHeight="1">
      <x:c r="A128" s="21" t="str">
        <x:v>Друид</x:v>
      </x:c>
      <x:c r="B128" s="21" t="str">
        <x:v>CLASS-druid</x:v>
      </x:c>
      <x:c r="C128" s="21" t="str">
        <x:v>932a15ad-a7c5-4062-b13a-899933b94231</x:v>
      </x:c>
      <x:c r="D128" s="21" t="n">
        <x:v>7</x:v>
      </x:c>
      <x:c r="E128" s="21" t="str">
        <x:v>Resource</x:v>
      </x:c>
      <x:c r="F128" s="21" t="str">
        <x:v>spell_slot_4</x:v>
      </x:c>
      <x:c r="G128" s="21" t="str"/>
      <x:c r="H128" s="21" t="str">
        <x:v>{"by_level":{"7":1,"8":2,"9":3},"per":"long_rest"}</x:v>
      </x:c>
      <x:c r="I128" s="21" t="str">
        <x:v>verified_partial</x:v>
      </x:c>
      <x:c r="J128" s="21" t="str">
        <x:v>Not tested</x:v>
      </x:c>
      <x:c r="K128" s="21" t="str"/>
      <x:c r="L128" s="21" t="str">
        <x:v>Checklist inventory correction: spell_slot_4 first becomes available at class level 7; it is not part of the level-1 mini-MVP gate. Its Not tested status is intentionally preserved for the later-level phase.</x:v>
      </x:c>
    </x:row>
    <x:row r="129" ht="48" customHeight="1">
      <x:c r="A129" s="21" t="str">
        <x:v>Друид</x:v>
      </x:c>
      <x:c r="B129" s="21" t="str">
        <x:v>CLASS-druid</x:v>
      </x:c>
      <x:c r="C129" s="21" t="str">
        <x:v>932a15ad-a7c5-4062-b13a-899933b94231</x:v>
      </x:c>
      <x:c r="D129" s="21" t="n">
        <x:v>9</x:v>
      </x:c>
      <x:c r="E129" s="21" t="str">
        <x:v>Resource</x:v>
      </x:c>
      <x:c r="F129" s="21" t="str">
        <x:v>spell_slot_5</x:v>
      </x:c>
      <x:c r="G129" s="21" t="str"/>
      <x:c r="H129" s="21" t="str">
        <x:v>{"by_level":{"9":1,"10":2,"18":3},"per":"long_rest"}</x:v>
      </x:c>
      <x:c r="I129" s="21" t="str">
        <x:v>verified_partial</x:v>
      </x:c>
      <x:c r="J129" s="21" t="str">
        <x:v>Not tested</x:v>
      </x:c>
      <x:c r="K129" s="21" t="str"/>
      <x:c r="L129" s="21" t="str">
        <x:v>Checklist inventory correction: spell_slot_5 first becomes available at class level 9; it is not part of the level-1 mini-MVP gate. Its Not tested status is intentionally preserved for the later-level phase.</x:v>
      </x:c>
    </x:row>
    <x:row r="130" ht="48" customHeight="1">
      <x:c r="A130" s="21" t="str">
        <x:v>Друид</x:v>
      </x:c>
      <x:c r="B130" s="21" t="str">
        <x:v>CLASS-druid</x:v>
      </x:c>
      <x:c r="C130" s="21" t="str">
        <x:v>932a15ad-a7c5-4062-b13a-899933b94231</x:v>
      </x:c>
      <x:c r="D130" s="21" t="n">
        <x:v>11</x:v>
      </x:c>
      <x:c r="E130" s="21" t="str">
        <x:v>Resource</x:v>
      </x:c>
      <x:c r="F130" s="21" t="str">
        <x:v>spell_slot_6</x:v>
      </x:c>
      <x:c r="G130" s="21" t="str"/>
      <x:c r="H130" s="21" t="str">
        <x:v>{"by_level":{"11":1,"19":2},"per":"long_rest"}</x:v>
      </x:c>
      <x:c r="I130" s="21" t="str">
        <x:v>verified_partial</x:v>
      </x:c>
      <x:c r="J130" s="21" t="str">
        <x:v>Not tested</x:v>
      </x:c>
      <x:c r="K130" s="21" t="str"/>
      <x:c r="L130" s="21" t="str">
        <x:v>Checklist inventory correction: spell_slot_6 first becomes available at class level 11; it is not part of the level-1 mini-MVP gate. Its Not tested status is intentionally preserved for the later-level phase.</x:v>
      </x:c>
    </x:row>
    <x:row r="131" ht="48" customHeight="1">
      <x:c r="A131" s="21" t="str">
        <x:v>Друид</x:v>
      </x:c>
      <x:c r="B131" s="21" t="str">
        <x:v>CLASS-druid</x:v>
      </x:c>
      <x:c r="C131" s="21" t="str">
        <x:v>932a15ad-a7c5-4062-b13a-899933b94231</x:v>
      </x:c>
      <x:c r="D131" s="21" t="n">
        <x:v>13</x:v>
      </x:c>
      <x:c r="E131" s="21" t="str">
        <x:v>Resource</x:v>
      </x:c>
      <x:c r="F131" s="21" t="str">
        <x:v>spell_slot_7</x:v>
      </x:c>
      <x:c r="G131" s="21" t="str"/>
      <x:c r="H131" s="21" t="str">
        <x:v>{"by_level":{"13":1,"20":2},"per":"long_rest"}</x:v>
      </x:c>
      <x:c r="I131" s="21" t="str">
        <x:v>verified_partial</x:v>
      </x:c>
      <x:c r="J131" s="21" t="str">
        <x:v>Not tested</x:v>
      </x:c>
      <x:c r="K131" s="21" t="str"/>
      <x:c r="L131" s="21" t="str">
        <x:v>Checklist inventory correction: spell_slot_7 first becomes available at class level 13; it is not part of the level-1 mini-MVP gate. Its Not tested status is intentionally preserved for the later-level phase.</x:v>
      </x:c>
    </x:row>
    <x:row r="132" ht="48" customHeight="1">
      <x:c r="A132" s="21" t="str">
        <x:v>Друид</x:v>
      </x:c>
      <x:c r="B132" s="21" t="str">
        <x:v>CLASS-druid</x:v>
      </x:c>
      <x:c r="C132" s="21" t="str">
        <x:v>932a15ad-a7c5-4062-b13a-899933b94231</x:v>
      </x:c>
      <x:c r="D132" s="21" t="n">
        <x:v>15</x:v>
      </x:c>
      <x:c r="E132" s="21" t="str">
        <x:v>Resource</x:v>
      </x:c>
      <x:c r="F132" s="21" t="str">
        <x:v>spell_slot_8</x:v>
      </x:c>
      <x:c r="G132" s="21" t="str"/>
      <x:c r="H132" s="21" t="str">
        <x:v>{"by_level":{"15":1},"per":"long_rest"}</x:v>
      </x:c>
      <x:c r="I132" s="21" t="str">
        <x:v>verified_partial</x:v>
      </x:c>
      <x:c r="J132" s="21" t="str">
        <x:v>Not tested</x:v>
      </x:c>
      <x:c r="K132" s="21" t="str"/>
      <x:c r="L132" s="21" t="str">
        <x:v>Checklist inventory correction: spell_slot_8 first becomes available at class level 15; it is not part of the level-1 mini-MVP gate. Its Not tested status is intentionally preserved for the later-level phase.</x:v>
      </x:c>
    </x:row>
    <x:row r="133" ht="48" customHeight="1">
      <x:c r="A133" s="21" t="str">
        <x:v>Друид</x:v>
      </x:c>
      <x:c r="B133" s="21" t="str">
        <x:v>CLASS-druid</x:v>
      </x:c>
      <x:c r="C133" s="21" t="str">
        <x:v>932a15ad-a7c5-4062-b13a-899933b94231</x:v>
      </x:c>
      <x:c r="D133" s="21" t="n">
        <x:v>17</x:v>
      </x:c>
      <x:c r="E133" s="21" t="str">
        <x:v>Resource</x:v>
      </x:c>
      <x:c r="F133" s="21" t="str">
        <x:v>spell_slot_9</x:v>
      </x:c>
      <x:c r="G133" s="21" t="str"/>
      <x:c r="H133" s="21" t="str">
        <x:v>{"by_level":{"17":1},"per":"long_rest"}</x:v>
      </x:c>
      <x:c r="I133" s="21" t="str">
        <x:v>verified_partial</x:v>
      </x:c>
      <x:c r="J133" s="21" t="str">
        <x:v>Not tested</x:v>
      </x:c>
      <x:c r="K133" s="21" t="str"/>
      <x:c r="L133" s="21" t="str">
        <x:v>Checklist inventory correction: spell_slot_9 first becomes available at class level 17; it is not part of the level-1 mini-MVP gate. Its Not tested status is intentionally preserved for the later-level phase.</x:v>
      </x:c>
    </x:row>
    <x:row r="134" ht="48" customHeight="1">
      <x:c r="A134" s="21" t="str">
        <x:v>Друид</x:v>
      </x:c>
      <x:c r="B134" s="21" t="str">
        <x:v>CLASS-druid</x:v>
      </x:c>
      <x:c r="C134" s="21" t="str">
        <x:v>932a15ad-a7c5-4062-b13a-899933b94231</x:v>
      </x:c>
      <x:c r="D134" s="21" t="n">
        <x:v>2</x:v>
      </x:c>
      <x:c r="E134" s="21" t="str">
        <x:v>Resource</x:v>
      </x:c>
      <x:c r="F134" s="21" t="str">
        <x:v>wild_shape</x:v>
      </x:c>
      <x:c r="G134" s="21" t="str"/>
      <x:c r="H134" s="21" t="str">
        <x:v>{"count":2,"per":"long_rest"}</x:v>
      </x:c>
      <x:c r="I134" s="21" t="str">
        <x:v>verified_partial</x:v>
      </x:c>
      <x:c r="J134" s="21" t="str">
        <x:v>Not tested</x:v>
      </x:c>
      <x:c r="K134" s="21" t="str"/>
      <x:c r="L134" s="21" t="str">
        <x:v>Checklist inventory correction: wild_shape first becomes available at class level 2; it is not part of the level-1 mini-MVP gate. Its Not tested status is intentionally preserved for the later-level phase.</x:v>
      </x:c>
    </x:row>
    <x:row r="135" ht="48" customHeight="1">
      <x:c r="A135" s="21" t="str">
        <x:v>Друид</x:v>
      </x:c>
      <x:c r="B135" s="21" t="str">
        <x:v>CLASS-druid</x:v>
      </x:c>
      <x:c r="C135" s="21" t="str">
        <x:v>932a15ad-a7c5-4062-b13a-899933b94231</x:v>
      </x:c>
      <x:c r="D135" s="21" t="n">
        <x:v>1</x:v>
      </x:c>
      <x:c r="E135" s="21" t="str">
        <x:v>Effect</x:v>
      </x:c>
      <x:c r="F135" s="21" t="str">
        <x:v>Использование заклинаний (друид)</x:v>
      </x:c>
      <x:c r="G135" s="21" t="str">
        <x:v>EFF-druid-spellcasting · 0a5724ae-fb9f-4d32-82e9-a4bfe3e48858</x:v>
      </x:c>
      <x:c r="H135" s="21" t="str">
        <x:v>Заговоры и подготовленные заклинания. | Activation: passive | Effects: [{"resolution":"auto","result":[{"ability":"wis","kind":"spellcasting_ability","role":"primary"},{"description":"Подготовка заклинаний друида. МДР — характеристика заклинаний.","kind":"narrative"}]},{"count":2,"grant":{"kind":"grant_spell","label":"cantrip"},"id":"druid_cantrips","kind":"choice","options":{"filter":{"classes":["друид"],"levels":[0]},"source":"spell"},"prompt":"Выберите 2 заговора друида","resolution":"on_acquire"},{"count":4,"grant":{"kind":"grant_spell","label":"prepared"},"id":"druid_spells_l1",…</x:v>
      </x:c>
      <x:c r="I135" s="21" t="str">
        <x:v>verified_mechanical</x:v>
      </x:c>
      <x:c r="J135" s="21" t="str">
        <x:v>Passed</x:v>
      </x:c>
      <x:c r="K135" s="21" t="str">
        <x:v>54b1ccd2-83f6-439e-bd85-1725bb713810</x:v>
      </x:c>
      <x:c r="L13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136" ht="48" customHeight="1">
      <x:c r="A136" s="21" t="str">
        <x:v>Друид</x:v>
      </x:c>
      <x:c r="B136" s="21" t="str">
        <x:v>CLASS-druid</x:v>
      </x:c>
      <x:c r="C136" s="21" t="str">
        <x:v>932a15ad-a7c5-4062-b13a-899933b94231</x:v>
      </x:c>
      <x:c r="D136" s="21" t="n">
        <x:v>1</x:v>
      </x:c>
      <x:c r="E136" s="21" t="str">
        <x:v>Effect</x:v>
      </x:c>
      <x:c r="F136" s="21" t="str">
        <x:v>Первобытный порядок</x:v>
      </x:c>
      <x:c r="G136" s="21" t="str">
        <x:v>EFF-primal-order · ccaf0064-4564-4e2c-9f57-1d3efb8b47c2</x:v>
      </x:c>
      <x:c r="H136" s="21" t="str">
        <x:v>Маг или Страж. | Activation: passive | Effects: [{"count":1,"id":"druid_primal_order","kind":"choice","options":{"items":[{"grants":[{"count":1,"grant":{"kind":"grant_spell","label":"cantrip"},"id":"druid_magician_cantrip","kind":"choice","options":{"filter":{"classes":["друид"],"levels":[0]},"source":"spell"},"prompt":"Дополнительный заговор друида","resolution":"on_acquire"},{"applies_to":{"filter":{"skill":"arcana"},"roll":"ability_check"},"kind":"modifier","op":"add","source":"Маг","value":"max(1,wis)"},{"applies_to":{"filter":{"skill":"nature"},"roll":"abi…</x:v>
      </x:c>
      <x:c r="I136" s="21" t="str">
        <x:v>verified_mechanical</x:v>
      </x:c>
      <x:c r="J136" s="21" t="str">
        <x:v>Passed</x:v>
      </x:c>
      <x:c r="K136" s="21" t="str">
        <x:v>54b1ccd2-83f6-439e-bd85-1725bb713810</x:v>
      </x:c>
      <x:c r="L13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37" ht="48" customHeight="1">
      <x:c r="A137" s="21" t="str">
        <x:v>Друид</x:v>
      </x:c>
      <x:c r="B137" s="21" t="str">
        <x:v>CLASS-druid</x:v>
      </x:c>
      <x:c r="C137" s="21" t="str">
        <x:v>932a15ad-a7c5-4062-b13a-899933b94231</x:v>
      </x:c>
      <x:c r="D137" s="21" t="n">
        <x:v>2</x:v>
      </x:c>
      <x:c r="E137" s="21" t="str">
        <x:v>Action</x:v>
      </x:c>
      <x:c r="F137" s="21" t="str">
        <x:v>Дикая форма</x:v>
      </x:c>
      <x:c r="G137" s="21" t="str">
        <x:v>ACT-wild-shape · e45cb3ed-827d-49d7-b52d-8cd29c681897</x:v>
      </x:c>
      <x:c r="H137" s="21" t="str">
        <x:v>Превращение в зверя (2/длинный отдых). | Activation: active; cost action, 1× wild_shape | Targeting: {"shape":"self"} | Effects: [{"resolution":"auto","result":[{"description":"Превращение в зверя с КО ≤ 1/4 (без летающей/плавающей скорости) на 1 час.","kind":"narrative"}]}]</x:v>
      </x:c>
      <x:c r="I137" s="21" t="str">
        <x:v>verified_mechanical</x:v>
      </x:c>
      <x:c r="J137" s="21" t="str">
        <x:v>Not tested</x:v>
      </x:c>
      <x:c r="K137" s="21" t="str"/>
      <x:c r="L137" s="21" t="str"/>
    </x:row>
    <x:row r="138" ht="48" customHeight="1">
      <x:c r="A138" s="21" t="str">
        <x:v>Друид</x:v>
      </x:c>
      <x:c r="B138" s="21" t="str">
        <x:v>CLASS-druid</x:v>
      </x:c>
      <x:c r="C138" s="21" t="str">
        <x:v>932a15ad-a7c5-4062-b13a-899933b94231</x:v>
      </x:c>
      <x:c r="D138" s="21" t="n">
        <x:v>2</x:v>
      </x:c>
      <x:c r="E138" s="21" t="str">
        <x:v>Effect</x:v>
      </x:c>
      <x:c r="F138" s="21" t="str">
        <x:v>Дикий спутник</x:v>
      </x:c>
      <x:c r="G138" s="21" t="str">
        <x:v>EFF-wild-companion · e4b0f152-777d-4c5a-86c5-6389ab6e3569</x:v>
      </x:c>
      <x:c r="H138" s="21" t="str">
        <x:v>Действием Магия вы можете потратить ячейку заклинаний или одно использование Дикого облика, чтобы сотворить заклинание Обретение фамильяра без Материальных компонентов. Сотворённый так фамильяр считается Феей и исчезает после окончания Долгого отдыха. | Activation: passive | Effects: [{"resolution":"auto","result":[{"description":"Призыв духа зверя-комpanьona на службу.","kind":"narrative"}]}]</x:v>
      </x:c>
      <x:c r="I138" s="21" t="str">
        <x:v>verified_mechanical</x:v>
      </x:c>
      <x:c r="J138" s="21" t="str">
        <x:v>Not tested</x:v>
      </x:c>
      <x:c r="K138" s="21" t="str"/>
      <x:c r="L138" s="21" t="str"/>
    </x:row>
    <x:row r="139" ht="48" customHeight="1">
      <x:c r="A139" s="21" t="str">
        <x:v>Друид</x:v>
      </x:c>
      <x:c r="B139" s="21" t="str">
        <x:v>CLASS-druid</x:v>
      </x:c>
      <x:c r="C139" s="21" t="str">
        <x:v>932a15ad-a7c5-4062-b13a-899933b94231</x:v>
      </x:c>
      <x:c r="D139" s="21" t="n">
        <x:v>2</x:v>
      </x:c>
      <x:c r="E139" s="21" t="str">
        <x:v>Effect</x:v>
      </x:c>
      <x:c r="F139" s="21" t="str">
        <x:v>Заклинания (друид)</x:v>
      </x:c>
      <x:c r="G139" s="21" t="str">
        <x:v>caster-druid-spells · 7e2eb63e-4b04-4e12-b6c3-d28010466ce7</x:v>
      </x:c>
      <x:c r="H139"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39" s="21" t="str">
        <x:v>verified_mechanical</x:v>
      </x:c>
      <x:c r="J139" s="21" t="str">
        <x:v>Not tested</x:v>
      </x:c>
      <x:c r="K139" s="21" t="str"/>
      <x:c r="L139" s="21" t="str"/>
    </x:row>
    <x:row r="140" ht="48" customHeight="1">
      <x:c r="A140" s="21" t="str">
        <x:v>Друид</x:v>
      </x:c>
      <x:c r="B140" s="21" t="str">
        <x:v>CLASS-druid</x:v>
      </x:c>
      <x:c r="C140" s="21" t="str">
        <x:v>932a15ad-a7c5-4062-b13a-899933b94231</x:v>
      </x:c>
      <x:c r="D140" s="21" t="n">
        <x:v>3</x:v>
      </x:c>
      <x:c r="E140" s="21" t="str">
        <x:v>Effect</x:v>
      </x:c>
      <x:c r="F140" s="21" t="str">
        <x:v>Заклинания (друид)</x:v>
      </x:c>
      <x:c r="G140" s="21" t="str">
        <x:v>caster-druid-spells · 7e2eb63e-4b04-4e12-b6c3-d28010466ce7</x:v>
      </x:c>
      <x:c r="H140"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0" s="21" t="str">
        <x:v>verified_mechanical</x:v>
      </x:c>
      <x:c r="J140" s="21" t="str">
        <x:v>Not tested</x:v>
      </x:c>
      <x:c r="K140" s="21" t="str"/>
      <x:c r="L140" s="21" t="str"/>
    </x:row>
    <x:row r="141" ht="48" customHeight="1">
      <x:c r="A141" s="21" t="str">
        <x:v>Друид</x:v>
      </x:c>
      <x:c r="B141" s="21" t="str">
        <x:v>CLASS-druid</x:v>
      </x:c>
      <x:c r="C141" s="21" t="str">
        <x:v>932a15ad-a7c5-4062-b13a-899933b94231</x:v>
      </x:c>
      <x:c r="D141" s="21" t="n">
        <x:v>4</x:v>
      </x:c>
      <x:c r="E141" s="21" t="str">
        <x:v>Effect</x:v>
      </x:c>
      <x:c r="F141" s="21" t="str">
        <x:v>Получение черты</x:v>
      </x:c>
      <x:c r="G141" s="21" t="str">
        <x:v>pf_1 · 5dbd9afb-b125-4038-9d51-54819757c777</x:v>
      </x:c>
      <x:c r="H141"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141" s="21" t="str">
        <x:v>verified_mechanical</x:v>
      </x:c>
      <x:c r="J141" s="21" t="str">
        <x:v>Not tested</x:v>
      </x:c>
      <x:c r="K141" s="21" t="str"/>
      <x:c r="L141" s="21" t="str"/>
    </x:row>
    <x:row r="142" ht="48" customHeight="1">
      <x:c r="A142" s="21" t="str">
        <x:v>Друид</x:v>
      </x:c>
      <x:c r="B142" s="21" t="str">
        <x:v>CLASS-druid</x:v>
      </x:c>
      <x:c r="C142" s="21" t="str">
        <x:v>932a15ad-a7c5-4062-b13a-899933b94231</x:v>
      </x:c>
      <x:c r="D142" s="21" t="n">
        <x:v>4</x:v>
      </x:c>
      <x:c r="E142" s="21" t="str">
        <x:v>Effect</x:v>
      </x:c>
      <x:c r="F142" s="21" t="str">
        <x:v>Заклинания (друид)</x:v>
      </x:c>
      <x:c r="G142" s="21" t="str">
        <x:v>caster-druid-spells · 7e2eb63e-4b04-4e12-b6c3-d28010466ce7</x:v>
      </x:c>
      <x:c r="H142"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2" s="21" t="str">
        <x:v>verified_mechanical</x:v>
      </x:c>
      <x:c r="J142" s="21" t="str">
        <x:v>Not tested</x:v>
      </x:c>
      <x:c r="K142" s="21" t="str"/>
      <x:c r="L142" s="21" t="str"/>
    </x:row>
    <x:row r="143" ht="48" customHeight="1">
      <x:c r="A143" s="21" t="str">
        <x:v>Друид</x:v>
      </x:c>
      <x:c r="B143" s="21" t="str">
        <x:v>CLASS-druid</x:v>
      </x:c>
      <x:c r="C143" s="21" t="str">
        <x:v>932a15ad-a7c5-4062-b13a-899933b94231</x:v>
      </x:c>
      <x:c r="D143" s="21" t="n">
        <x:v>4</x:v>
      </x:c>
      <x:c r="E143" s="21" t="str">
        <x:v>Effect</x:v>
      </x:c>
      <x:c r="F143" s="21" t="str">
        <x:v>Заговоры (друид)</x:v>
      </x:c>
      <x:c r="G143" s="21" t="str">
        <x:v>caster-druid-cantrips · 1a09d2fe-02df-4522-a2af-1e45ec32e349</x:v>
      </x:c>
      <x:c r="H143" s="21" t="str">
        <x:v>Дополнительные заговоры друида. Повторяемый: по одному на прикрепление. | Activation: passive | Effects: [{"resolution":"auto","result":[{"count":1,"grant":{"kind":"grant_spell","label":"cantrip"},"id":"druid_cantrip_growth","kind":"choice","options":{"filter":{"classes":["друид"],"levels":[0]},"source":"spell"},"prompt":"Выберите заговор","resolution":"on_acquire"}]}]</x:v>
      </x:c>
      <x:c r="I143" s="21" t="str">
        <x:v>verified_mechanical</x:v>
      </x:c>
      <x:c r="J143" s="21" t="str">
        <x:v>Not tested</x:v>
      </x:c>
      <x:c r="K143" s="21" t="str"/>
      <x:c r="L143" s="21" t="str"/>
    </x:row>
    <x:row r="144" ht="48" customHeight="1">
      <x:c r="A144" s="21" t="str">
        <x:v>Друид</x:v>
      </x:c>
      <x:c r="B144" s="21" t="str">
        <x:v>CLASS-druid</x:v>
      </x:c>
      <x:c r="C144" s="21" t="str">
        <x:v>932a15ad-a7c5-4062-b13a-899933b94231</x:v>
      </x:c>
      <x:c r="D144" s="21" t="n">
        <x:v>5</x:v>
      </x:c>
      <x:c r="E144" s="21" t="str">
        <x:v>Effect</x:v>
      </x:c>
      <x:c r="F144" s="21" t="str">
        <x:v>Заклинания (друид)</x:v>
      </x:c>
      <x:c r="G144" s="21" t="str">
        <x:v>caster-druid-spells · 7e2eb63e-4b04-4e12-b6c3-d28010466ce7</x:v>
      </x:c>
      <x:c r="H144"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4" s="21" t="str">
        <x:v>verified_mechanical</x:v>
      </x:c>
      <x:c r="J144" s="21" t="str">
        <x:v>Not tested</x:v>
      </x:c>
      <x:c r="K144" s="21" t="str"/>
      <x:c r="L144" s="21" t="str"/>
    </x:row>
    <x:row r="145" ht="48" customHeight="1">
      <x:c r="A145" s="21" t="str">
        <x:v>Друид</x:v>
      </x:c>
      <x:c r="B145" s="21" t="str">
        <x:v>CLASS-druid</x:v>
      </x:c>
      <x:c r="C145" s="21" t="str">
        <x:v>932a15ad-a7c5-4062-b13a-899933b94231</x:v>
      </x:c>
      <x:c r="D145" s="21" t="n">
        <x:v>6</x:v>
      </x:c>
      <x:c r="E145" s="21" t="str">
        <x:v>Effect</x:v>
      </x:c>
      <x:c r="F145" s="21" t="str">
        <x:v>Заклинания (друид)</x:v>
      </x:c>
      <x:c r="G145" s="21" t="str">
        <x:v>caster-druid-spells · 7e2eb63e-4b04-4e12-b6c3-d28010466ce7</x:v>
      </x:c>
      <x:c r="H145"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5" s="21" t="str">
        <x:v>verified_mechanical</x:v>
      </x:c>
      <x:c r="J145" s="21" t="str">
        <x:v>Not tested</x:v>
      </x:c>
      <x:c r="K145" s="21" t="str"/>
      <x:c r="L145" s="21" t="str"/>
    </x:row>
    <x:row r="146" ht="48" customHeight="1">
      <x:c r="A146" s="21" t="str">
        <x:v>Друид</x:v>
      </x:c>
      <x:c r="B146" s="21" t="str">
        <x:v>CLASS-druid</x:v>
      </x:c>
      <x:c r="C146" s="21" t="str">
        <x:v>932a15ad-a7c5-4062-b13a-899933b94231</x:v>
      </x:c>
      <x:c r="D146" s="21" t="n">
        <x:v>7</x:v>
      </x:c>
      <x:c r="E146" s="21" t="str">
        <x:v>Effect</x:v>
      </x:c>
      <x:c r="F146" s="21" t="str">
        <x:v>Заклинания (друид)</x:v>
      </x:c>
      <x:c r="G146" s="21" t="str">
        <x:v>caster-druid-spells · 7e2eb63e-4b04-4e12-b6c3-d28010466ce7</x:v>
      </x:c>
      <x:c r="H146"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6" s="21" t="str">
        <x:v>verified_mechanical</x:v>
      </x:c>
      <x:c r="J146" s="21" t="str">
        <x:v>Not tested</x:v>
      </x:c>
      <x:c r="K146" s="21" t="str"/>
      <x:c r="L146" s="21" t="str"/>
    </x:row>
    <x:row r="147" ht="48" customHeight="1">
      <x:c r="A147" s="21" t="str">
        <x:v>Друид</x:v>
      </x:c>
      <x:c r="B147" s="21" t="str">
        <x:v>CLASS-druid</x:v>
      </x:c>
      <x:c r="C147" s="21" t="str">
        <x:v>932a15ad-a7c5-4062-b13a-899933b94231</x:v>
      </x:c>
      <x:c r="D147" s="21" t="n">
        <x:v>8</x:v>
      </x:c>
      <x:c r="E147" s="21" t="str">
        <x:v>Effect</x:v>
      </x:c>
      <x:c r="F147" s="21" t="str">
        <x:v>Получение черты · слот 2</x:v>
      </x:c>
      <x:c r="G147" s="21" t="str">
        <x:v>pf_2 · 55689cd6-f67f-4368-8a96-53bc134fd78b</x:v>
      </x:c>
      <x:c r="H147" s="21" t="str">
        <x:v>Получение черты · слот 2 | Activation: passive | Effects: [{"grant":{"kind":"grant_feat"},"id":"gain_feat","kind":"choice","options":{"categories":["origin","general"],"source":"feat"},"prompt":"Получение черты"}]</x:v>
      </x:c>
      <x:c r="I147" s="21" t="str">
        <x:v>verified_mechanical</x:v>
      </x:c>
      <x:c r="J147" s="21" t="str">
        <x:v>Not tested</x:v>
      </x:c>
      <x:c r="K147" s="21" t="str"/>
      <x:c r="L147" s="21" t="str"/>
    </x:row>
    <x:row r="148" ht="48" customHeight="1">
      <x:c r="A148" s="21" t="str">
        <x:v>Друид</x:v>
      </x:c>
      <x:c r="B148" s="21" t="str">
        <x:v>CLASS-druid</x:v>
      </x:c>
      <x:c r="C148" s="21" t="str">
        <x:v>932a15ad-a7c5-4062-b13a-899933b94231</x:v>
      </x:c>
      <x:c r="D148" s="21" t="n">
        <x:v>8</x:v>
      </x:c>
      <x:c r="E148" s="21" t="str">
        <x:v>Effect</x:v>
      </x:c>
      <x:c r="F148" s="21" t="str">
        <x:v>Заклинания (друид)</x:v>
      </x:c>
      <x:c r="G148" s="21" t="str">
        <x:v>caster-druid-spells · 7e2eb63e-4b04-4e12-b6c3-d28010466ce7</x:v>
      </x:c>
      <x:c r="H148"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8" s="21" t="str">
        <x:v>verified_mechanical</x:v>
      </x:c>
      <x:c r="J148" s="21" t="str">
        <x:v>Not tested</x:v>
      </x:c>
      <x:c r="K148" s="21" t="str"/>
      <x:c r="L148" s="21" t="str"/>
    </x:row>
    <x:row r="149" ht="48" customHeight="1">
      <x:c r="A149" s="21" t="str">
        <x:v>Друид</x:v>
      </x:c>
      <x:c r="B149" s="21" t="str">
        <x:v>CLASS-druid</x:v>
      </x:c>
      <x:c r="C149" s="21" t="str">
        <x:v>932a15ad-a7c5-4062-b13a-899933b94231</x:v>
      </x:c>
      <x:c r="D149" s="21" t="n">
        <x:v>9</x:v>
      </x:c>
      <x:c r="E149" s="21" t="str">
        <x:v>Effect</x:v>
      </x:c>
      <x:c r="F149" s="21" t="str">
        <x:v>Заклинания (друид)</x:v>
      </x:c>
      <x:c r="G149" s="21" t="str">
        <x:v>caster-druid-spells · 7e2eb63e-4b04-4e12-b6c3-d28010466ce7</x:v>
      </x:c>
      <x:c r="H149"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49" s="21" t="str">
        <x:v>verified_mechanical</x:v>
      </x:c>
      <x:c r="J149" s="21" t="str">
        <x:v>Not tested</x:v>
      </x:c>
      <x:c r="K149" s="21" t="str"/>
      <x:c r="L149" s="21" t="str"/>
    </x:row>
    <x:row r="150" ht="48" customHeight="1">
      <x:c r="A150" s="21" t="str">
        <x:v>Друид</x:v>
      </x:c>
      <x:c r="B150" s="21" t="str">
        <x:v>CLASS-druid</x:v>
      </x:c>
      <x:c r="C150" s="21" t="str">
        <x:v>932a15ad-a7c5-4062-b13a-899933b94231</x:v>
      </x:c>
      <x:c r="D150" s="21" t="n">
        <x:v>10</x:v>
      </x:c>
      <x:c r="E150" s="21" t="str">
        <x:v>Effect</x:v>
      </x:c>
      <x:c r="F150" s="21" t="str">
        <x:v>Заклинания (друид)</x:v>
      </x:c>
      <x:c r="G150" s="21" t="str">
        <x:v>caster-druid-spells · 7e2eb63e-4b04-4e12-b6c3-d28010466ce7</x:v>
      </x:c>
      <x:c r="H150"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0" s="21" t="str">
        <x:v>verified_mechanical</x:v>
      </x:c>
      <x:c r="J150" s="21" t="str">
        <x:v>Not tested</x:v>
      </x:c>
      <x:c r="K150" s="21" t="str"/>
      <x:c r="L150" s="21" t="str"/>
    </x:row>
    <x:row r="151" ht="48" customHeight="1">
      <x:c r="A151" s="21" t="str">
        <x:v>Друид</x:v>
      </x:c>
      <x:c r="B151" s="21" t="str">
        <x:v>CLASS-druid</x:v>
      </x:c>
      <x:c r="C151" s="21" t="str">
        <x:v>932a15ad-a7c5-4062-b13a-899933b94231</x:v>
      </x:c>
      <x:c r="D151" s="21" t="n">
        <x:v>10</x:v>
      </x:c>
      <x:c r="E151" s="21" t="str">
        <x:v>Effect</x:v>
      </x:c>
      <x:c r="F151" s="21" t="str">
        <x:v>Заговоры (друид)</x:v>
      </x:c>
      <x:c r="G151" s="21" t="str">
        <x:v>caster-druid-cantrips · 1a09d2fe-02df-4522-a2af-1e45ec32e349</x:v>
      </x:c>
      <x:c r="H151" s="21" t="str">
        <x:v>Дополнительные заговоры друида. Повторяемый: по одному на прикрепление. | Activation: passive | Effects: [{"resolution":"auto","result":[{"count":1,"grant":{"kind":"grant_spell","label":"cantrip"},"id":"druid_cantrip_growth","kind":"choice","options":{"filter":{"classes":["друид"],"levels":[0]},"source":"spell"},"prompt":"Выберите заговор","resolution":"on_acquire"}]}]</x:v>
      </x:c>
      <x:c r="I151" s="21" t="str">
        <x:v>verified_mechanical</x:v>
      </x:c>
      <x:c r="J151" s="21" t="str">
        <x:v>Not tested</x:v>
      </x:c>
      <x:c r="K151" s="21" t="str"/>
      <x:c r="L151" s="21" t="str"/>
    </x:row>
    <x:row r="152" ht="48" customHeight="1">
      <x:c r="A152" s="21" t="str">
        <x:v>Друид</x:v>
      </x:c>
      <x:c r="B152" s="21" t="str">
        <x:v>CLASS-druid</x:v>
      </x:c>
      <x:c r="C152" s="21" t="str">
        <x:v>932a15ad-a7c5-4062-b13a-899933b94231</x:v>
      </x:c>
      <x:c r="D152" s="21" t="n">
        <x:v>11</x:v>
      </x:c>
      <x:c r="E152" s="21" t="str">
        <x:v>Effect</x:v>
      </x:c>
      <x:c r="F152" s="21" t="str">
        <x:v>Заклинания (друид)</x:v>
      </x:c>
      <x:c r="G152" s="21" t="str">
        <x:v>caster-druid-spells · 7e2eb63e-4b04-4e12-b6c3-d28010466ce7</x:v>
      </x:c>
      <x:c r="H152"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2" s="21" t="str">
        <x:v>verified_mechanical</x:v>
      </x:c>
      <x:c r="J152" s="21" t="str">
        <x:v>Not tested</x:v>
      </x:c>
      <x:c r="K152" s="21" t="str"/>
      <x:c r="L152" s="21" t="str"/>
    </x:row>
    <x:row r="153" ht="48" customHeight="1">
      <x:c r="A153" s="21" t="str">
        <x:v>Друид</x:v>
      </x:c>
      <x:c r="B153" s="21" t="str">
        <x:v>CLASS-druid</x:v>
      </x:c>
      <x:c r="C153" s="21" t="str">
        <x:v>932a15ad-a7c5-4062-b13a-899933b94231</x:v>
      </x:c>
      <x:c r="D153" s="21" t="n">
        <x:v>12</x:v>
      </x:c>
      <x:c r="E153" s="21" t="str">
        <x:v>Effect</x:v>
      </x:c>
      <x:c r="F153" s="21" t="str">
        <x:v>Получение черты · слот 3</x:v>
      </x:c>
      <x:c r="G153" s="21" t="str">
        <x:v>pf_3 · 6ec4b5ab-4abc-47af-b45a-560ca2a1bb07</x:v>
      </x:c>
      <x:c r="H153" s="21" t="str">
        <x:v>Получение черты · слот 3 | Activation: passive | Effects: [{"grant":{"kind":"grant_feat"},"id":"gain_feat","kind":"choice","options":{"categories":["origin","general"],"source":"feat"},"prompt":"Получение черты"}]</x:v>
      </x:c>
      <x:c r="I153" s="21" t="str">
        <x:v>verified_mechanical</x:v>
      </x:c>
      <x:c r="J153" s="21" t="str">
        <x:v>Not tested</x:v>
      </x:c>
      <x:c r="K153" s="21" t="str"/>
      <x:c r="L153" s="21" t="str"/>
    </x:row>
    <x:row r="154" ht="48" customHeight="1">
      <x:c r="A154" s="21" t="str">
        <x:v>Друид</x:v>
      </x:c>
      <x:c r="B154" s="21" t="str">
        <x:v>CLASS-druid</x:v>
      </x:c>
      <x:c r="C154" s="21" t="str">
        <x:v>932a15ad-a7c5-4062-b13a-899933b94231</x:v>
      </x:c>
      <x:c r="D154" s="21" t="n">
        <x:v>12</x:v>
      </x:c>
      <x:c r="E154" s="21" t="str">
        <x:v>Effect</x:v>
      </x:c>
      <x:c r="F154" s="21" t="str">
        <x:v>Заклинания (друид)</x:v>
      </x:c>
      <x:c r="G154" s="21" t="str">
        <x:v>caster-druid-spells · 7e2eb63e-4b04-4e12-b6c3-d28010466ce7</x:v>
      </x:c>
      <x:c r="H154"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4" s="21" t="str">
        <x:v>verified_mechanical</x:v>
      </x:c>
      <x:c r="J154" s="21" t="str">
        <x:v>Not tested</x:v>
      </x:c>
      <x:c r="K154" s="21" t="str"/>
      <x:c r="L154" s="21" t="str"/>
    </x:row>
    <x:row r="155" ht="48" customHeight="1">
      <x:c r="A155" s="21" t="str">
        <x:v>Друид</x:v>
      </x:c>
      <x:c r="B155" s="21" t="str">
        <x:v>CLASS-druid</x:v>
      </x:c>
      <x:c r="C155" s="21" t="str">
        <x:v>932a15ad-a7c5-4062-b13a-899933b94231</x:v>
      </x:c>
      <x:c r="D155" s="21" t="n">
        <x:v>13</x:v>
      </x:c>
      <x:c r="E155" s="21" t="str">
        <x:v>Effect</x:v>
      </x:c>
      <x:c r="F155" s="21" t="str">
        <x:v>Заклинания (друид)</x:v>
      </x:c>
      <x:c r="G155" s="21" t="str">
        <x:v>caster-druid-spells · 7e2eb63e-4b04-4e12-b6c3-d28010466ce7</x:v>
      </x:c>
      <x:c r="H155"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5" s="21" t="str">
        <x:v>verified_mechanical</x:v>
      </x:c>
      <x:c r="J155" s="21" t="str">
        <x:v>Not tested</x:v>
      </x:c>
      <x:c r="K155" s="21" t="str"/>
      <x:c r="L155" s="21" t="str"/>
    </x:row>
    <x:row r="156" ht="48" customHeight="1">
      <x:c r="A156" s="21" t="str">
        <x:v>Друид</x:v>
      </x:c>
      <x:c r="B156" s="21" t="str">
        <x:v>CLASS-druid</x:v>
      </x:c>
      <x:c r="C156" s="21" t="str">
        <x:v>932a15ad-a7c5-4062-b13a-899933b94231</x:v>
      </x:c>
      <x:c r="D156" s="21" t="n">
        <x:v>14</x:v>
      </x:c>
      <x:c r="E156" s="21" t="str">
        <x:v>Effect</x:v>
      </x:c>
      <x:c r="F156" s="21" t="str">
        <x:v>Заклинания (друид)</x:v>
      </x:c>
      <x:c r="G156" s="21" t="str">
        <x:v>caster-druid-spells · 7e2eb63e-4b04-4e12-b6c3-d28010466ce7</x:v>
      </x:c>
      <x:c r="H156"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6" s="21" t="str">
        <x:v>verified_mechanical</x:v>
      </x:c>
      <x:c r="J156" s="21" t="str">
        <x:v>Not tested</x:v>
      </x:c>
      <x:c r="K156" s="21" t="str"/>
      <x:c r="L156" s="21" t="str"/>
    </x:row>
    <x:row r="157" ht="48" customHeight="1">
      <x:c r="A157" s="21" t="str">
        <x:v>Друид</x:v>
      </x:c>
      <x:c r="B157" s="21" t="str">
        <x:v>CLASS-druid</x:v>
      </x:c>
      <x:c r="C157" s="21" t="str">
        <x:v>932a15ad-a7c5-4062-b13a-899933b94231</x:v>
      </x:c>
      <x:c r="D157" s="21" t="n">
        <x:v>15</x:v>
      </x:c>
      <x:c r="E157" s="21" t="str">
        <x:v>Effect</x:v>
      </x:c>
      <x:c r="F157" s="21" t="str">
        <x:v>Заклинания (друид)</x:v>
      </x:c>
      <x:c r="G157" s="21" t="str">
        <x:v>caster-druid-spells · 7e2eb63e-4b04-4e12-b6c3-d28010466ce7</x:v>
      </x:c>
      <x:c r="H157"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7" s="21" t="str">
        <x:v>verified_mechanical</x:v>
      </x:c>
      <x:c r="J157" s="21" t="str">
        <x:v>Not tested</x:v>
      </x:c>
      <x:c r="K157" s="21" t="str"/>
      <x:c r="L157" s="21" t="str"/>
    </x:row>
    <x:row r="158" ht="48" customHeight="1">
      <x:c r="A158" s="21" t="str">
        <x:v>Друид</x:v>
      </x:c>
      <x:c r="B158" s="21" t="str">
        <x:v>CLASS-druid</x:v>
      </x:c>
      <x:c r="C158" s="21" t="str">
        <x:v>932a15ad-a7c5-4062-b13a-899933b94231</x:v>
      </x:c>
      <x:c r="D158" s="21" t="n">
        <x:v>16</x:v>
      </x:c>
      <x:c r="E158" s="21" t="str">
        <x:v>Effect</x:v>
      </x:c>
      <x:c r="F158" s="21" t="str">
        <x:v>Получение черты · слот 4</x:v>
      </x:c>
      <x:c r="G158" s="21" t="str">
        <x:v>pf_4 · f3a0400f-579f-4a68-8105-cfad1d862357</x:v>
      </x:c>
      <x:c r="H158" s="21" t="str">
        <x:v>Получение черты · слот 4 | Activation: passive | Effects: [{"grant":{"kind":"grant_feat"},"id":"gain_feat","kind":"choice","options":{"categories":["origin","general"],"source":"feat"},"prompt":"Получение черты"}]</x:v>
      </x:c>
      <x:c r="I158" s="21" t="str">
        <x:v>verified_mechanical</x:v>
      </x:c>
      <x:c r="J158" s="21" t="str">
        <x:v>Not tested</x:v>
      </x:c>
      <x:c r="K158" s="21" t="str"/>
      <x:c r="L158" s="21" t="str"/>
    </x:row>
    <x:row r="159" ht="48" customHeight="1">
      <x:c r="A159" s="21" t="str">
        <x:v>Друид</x:v>
      </x:c>
      <x:c r="B159" s="21" t="str">
        <x:v>CLASS-druid</x:v>
      </x:c>
      <x:c r="C159" s="21" t="str">
        <x:v>932a15ad-a7c5-4062-b13a-899933b94231</x:v>
      </x:c>
      <x:c r="D159" s="21" t="n">
        <x:v>16</x:v>
      </x:c>
      <x:c r="E159" s="21" t="str">
        <x:v>Effect</x:v>
      </x:c>
      <x:c r="F159" s="21" t="str">
        <x:v>Заклинания (друид)</x:v>
      </x:c>
      <x:c r="G159" s="21" t="str">
        <x:v>caster-druid-spells · 7e2eb63e-4b04-4e12-b6c3-d28010466ce7</x:v>
      </x:c>
      <x:c r="H159"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59" s="21" t="str">
        <x:v>verified_mechanical</x:v>
      </x:c>
      <x:c r="J159" s="21" t="str">
        <x:v>Not tested</x:v>
      </x:c>
      <x:c r="K159" s="21" t="str"/>
      <x:c r="L159" s="21" t="str"/>
    </x:row>
    <x:row r="160" ht="48" customHeight="1">
      <x:c r="A160" s="21" t="str">
        <x:v>Друид</x:v>
      </x:c>
      <x:c r="B160" s="21" t="str">
        <x:v>CLASS-druid</x:v>
      </x:c>
      <x:c r="C160" s="21" t="str">
        <x:v>932a15ad-a7c5-4062-b13a-899933b94231</x:v>
      </x:c>
      <x:c r="D160" s="21" t="n">
        <x:v>17</x:v>
      </x:c>
      <x:c r="E160" s="21" t="str">
        <x:v>Effect</x:v>
      </x:c>
      <x:c r="F160" s="21" t="str">
        <x:v>Заклинания (друид)</x:v>
      </x:c>
      <x:c r="G160" s="21" t="str">
        <x:v>caster-druid-spells · 7e2eb63e-4b04-4e12-b6c3-d28010466ce7</x:v>
      </x:c>
      <x:c r="H160"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60" s="21" t="str">
        <x:v>verified_mechanical</x:v>
      </x:c>
      <x:c r="J160" s="21" t="str">
        <x:v>Not tested</x:v>
      </x:c>
      <x:c r="K160" s="21" t="str"/>
      <x:c r="L160" s="21" t="str"/>
    </x:row>
    <x:row r="161" ht="48" customHeight="1">
      <x:c r="A161" s="21" t="str">
        <x:v>Друид</x:v>
      </x:c>
      <x:c r="B161" s="21" t="str">
        <x:v>CLASS-druid</x:v>
      </x:c>
      <x:c r="C161" s="21" t="str">
        <x:v>932a15ad-a7c5-4062-b13a-899933b94231</x:v>
      </x:c>
      <x:c r="D161" s="21" t="n">
        <x:v>18</x:v>
      </x:c>
      <x:c r="E161" s="21" t="str">
        <x:v>Effect</x:v>
      </x:c>
      <x:c r="F161" s="21" t="str">
        <x:v>Заклинания (друид)</x:v>
      </x:c>
      <x:c r="G161" s="21" t="str">
        <x:v>caster-druid-spells · 7e2eb63e-4b04-4e12-b6c3-d28010466ce7</x:v>
      </x:c>
      <x:c r="H161"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61" s="21" t="str">
        <x:v>verified_mechanical</x:v>
      </x:c>
      <x:c r="J161" s="21" t="str">
        <x:v>Not tested</x:v>
      </x:c>
      <x:c r="K161" s="21" t="str"/>
      <x:c r="L161" s="21" t="str"/>
    </x:row>
    <x:row r="162" ht="48" customHeight="1">
      <x:c r="A162" s="21" t="str">
        <x:v>Друид</x:v>
      </x:c>
      <x:c r="B162" s="21" t="str">
        <x:v>CLASS-druid</x:v>
      </x:c>
      <x:c r="C162" s="21" t="str">
        <x:v>932a15ad-a7c5-4062-b13a-899933b94231</x:v>
      </x:c>
      <x:c r="D162" s="21" t="n">
        <x:v>19</x:v>
      </x:c>
      <x:c r="E162" s="21" t="str">
        <x:v>Effect</x:v>
      </x:c>
      <x:c r="F162" s="21" t="str">
        <x:v>Получение черты · слот 5</x:v>
      </x:c>
      <x:c r="G162" s="21" t="str">
        <x:v>pf_5 · f5694b06-f2f8-40a7-8521-cc6bfe1e93c6</x:v>
      </x:c>
      <x:c r="H162" s="21" t="str">
        <x:v>Получение черты · слот 5 | Activation: passive | Effects: [{"grant":{"kind":"grant_feat"},"id":"gain_feat","kind":"choice","options":{"categories":["origin","general"],"source":"feat"},"prompt":"Получение черты"}]</x:v>
      </x:c>
      <x:c r="I162" s="21" t="str">
        <x:v>verified_mechanical</x:v>
      </x:c>
      <x:c r="J162" s="21" t="str">
        <x:v>Not tested</x:v>
      </x:c>
      <x:c r="K162" s="21" t="str"/>
      <x:c r="L162" s="21" t="str"/>
    </x:row>
    <x:row r="163" ht="48" customHeight="1">
      <x:c r="A163" s="21" t="str">
        <x:v>Друид</x:v>
      </x:c>
      <x:c r="B163" s="21" t="str">
        <x:v>CLASS-druid</x:v>
      </x:c>
      <x:c r="C163" s="21" t="str">
        <x:v>932a15ad-a7c5-4062-b13a-899933b94231</x:v>
      </x:c>
      <x:c r="D163" s="21" t="n">
        <x:v>19</x:v>
      </x:c>
      <x:c r="E163" s="21" t="str">
        <x:v>Effect</x:v>
      </x:c>
      <x:c r="F163" s="21" t="str">
        <x:v>Заклинания (друид)</x:v>
      </x:c>
      <x:c r="G163" s="21" t="str">
        <x:v>caster-druid-spells · 7e2eb63e-4b04-4e12-b6c3-d28010466ce7</x:v>
      </x:c>
      <x:c r="H163"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63" s="21" t="str">
        <x:v>verified_mechanical</x:v>
      </x:c>
      <x:c r="J163" s="21" t="str">
        <x:v>Not tested</x:v>
      </x:c>
      <x:c r="K163" s="21" t="str"/>
      <x:c r="L163" s="21" t="str"/>
    </x:row>
    <x:row r="164" ht="48" customHeight="1">
      <x:c r="A164" s="21" t="str">
        <x:v>Друид</x:v>
      </x:c>
      <x:c r="B164" s="21" t="str">
        <x:v>CLASS-druid</x:v>
      </x:c>
      <x:c r="C164" s="21" t="str">
        <x:v>932a15ad-a7c5-4062-b13a-899933b94231</x:v>
      </x:c>
      <x:c r="D164" s="21" t="n">
        <x:v>20</x:v>
      </x:c>
      <x:c r="E164" s="21" t="str">
        <x:v>Effect</x:v>
      </x:c>
      <x:c r="F164" s="21" t="str">
        <x:v>Заклинания (друид)</x:v>
      </x:c>
      <x:c r="G164" s="21" t="str">
        <x:v>caster-druid-spells · 7e2eb63e-4b04-4e12-b6c3-d28010466ce7</x:v>
      </x:c>
      <x:c r="H164" s="21" t="str">
        <x:v>Выбор заклинаний друида на уровне (доступные круги). Повторяемый: по одному на уровень. | Activation: passive | Effects: [{"resolution":"auto","result":[{"count":1,"grant":{"kind":"grant_spell","label":"known"},"id":"druid_spells_recurring","kind":"choice","options":{"filter":{"classes":["друид"],"only_available_slots":true},"source":"spell"},"prompt":"Выберите заклинание","resolution":"on_acquire"}]}]</x:v>
      </x:c>
      <x:c r="I164" s="21" t="str">
        <x:v>verified_mechanical</x:v>
      </x:c>
      <x:c r="J164" s="21" t="str">
        <x:v>Not tested</x:v>
      </x:c>
      <x:c r="K164" s="21" t="str"/>
      <x:c r="L164" s="21" t="str"/>
    </x:row>
    <x:row r="165" ht="48" customHeight="1">
      <x:c r="A165" s="21" t="str">
        <x:v>Жрец</x:v>
      </x:c>
      <x:c r="B165" s="21" t="str">
        <x:v>CLASS-cleric</x:v>
      </x:c>
      <x:c r="C165" s="21" t="str">
        <x:v>de7259fa-305e-429d-a209-fa79ec302afd</x:v>
      </x:c>
      <x:c r="D165" s="21" t="n">
        <x:v>1</x:v>
      </x:c>
      <x:c r="E165" s="21" t="str">
        <x:v>Class chassis</x:v>
      </x:c>
      <x:c r="F165" s="21" t="str">
        <x:v>Жрец</x:v>
      </x:c>
      <x:c r="G165" s="21" t="str">
        <x:v>de7259fa-305e-429d-a209-fa79ec302afd</x:v>
      </x:c>
      <x:c r="H165" s="21" t="str">
        <x:v>Hit die d8; primary ["wis"]; saves ["wis","cha"]; armor ["light","medium","shields"]; weapons ["simple"]; skills {"count":2,"options":["history","insight","medicine","persuasion","religion"]}. Посредник между смертными и божественным.</x:v>
      </x:c>
      <x:c r="I165" s="21" t="str">
        <x:v>verified_partial</x:v>
      </x:c>
      <x:c r="J165" s="21" t="str">
        <x:v>Passed</x:v>
      </x:c>
      <x:c r="K165" s="21" t="str"/>
      <x:c r="L16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66" ht="48" customHeight="1">
      <x:c r="A166" s="21" t="str">
        <x:v>Жрец</x:v>
      </x:c>
      <x:c r="B166" s="21" t="str">
        <x:v>CLASS-cleric</x:v>
      </x:c>
      <x:c r="C166" s="21" t="str">
        <x:v>de7259fa-305e-429d-a209-fa79ec302afd</x:v>
      </x:c>
      <x:c r="D166" s="21" t="n">
        <x:v>1</x:v>
      </x:c>
      <x:c r="E166" s="21" t="str">
        <x:v>Resource</x:v>
      </x:c>
      <x:c r="F166" s="21" t="str">
        <x:v>spell_slot_1</x:v>
      </x:c>
      <x:c r="G166" s="21" t="str"/>
      <x:c r="H166" s="21" t="str">
        <x:v>{"by_level":{"1":2,"2":3,"3":4},"per":"long_rest"}</x:v>
      </x:c>
      <x:c r="I166" s="21" t="str">
        <x:v>verified_partial</x:v>
      </x:c>
      <x:c r="J166" s="21" t="str">
        <x:v>Passed</x:v>
      </x:c>
      <x:c r="K166" s="21" t="str"/>
      <x:c r="L16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67" ht="48" customHeight="1">
      <x:c r="A167" s="21" t="str">
        <x:v>Жрец</x:v>
      </x:c>
      <x:c r="B167" s="21" t="str">
        <x:v>CLASS-cleric</x:v>
      </x:c>
      <x:c r="C167" s="21" t="str">
        <x:v>de7259fa-305e-429d-a209-fa79ec302afd</x:v>
      </x:c>
      <x:c r="D167" s="21" t="n">
        <x:v>3</x:v>
      </x:c>
      <x:c r="E167" s="21" t="str">
        <x:v>Resource</x:v>
      </x:c>
      <x:c r="F167" s="21" t="str">
        <x:v>spell_slot_2</x:v>
      </x:c>
      <x:c r="G167" s="21" t="str"/>
      <x:c r="H167" s="21" t="str">
        <x:v>{"by_level":{"3":2,"4":3},"per":"long_rest"}</x:v>
      </x:c>
      <x:c r="I167" s="21" t="str">
        <x:v>verified_partial</x:v>
      </x:c>
      <x:c r="J167" s="21" t="str">
        <x:v>Not tested</x:v>
      </x:c>
      <x:c r="K167" s="21" t="str"/>
      <x:c r="L167" s="21" t="str">
        <x:v>Checklist inventory correction: spell_slot_2 first becomes available at class level 3; it is not part of the level-1 mini-MVP gate. Its Not tested status is intentionally preserved for the later-level phase.</x:v>
      </x:c>
    </x:row>
    <x:row r="168" ht="48" customHeight="1">
      <x:c r="A168" s="21" t="str">
        <x:v>Жрец</x:v>
      </x:c>
      <x:c r="B168" s="21" t="str">
        <x:v>CLASS-cleric</x:v>
      </x:c>
      <x:c r="C168" s="21" t="str">
        <x:v>de7259fa-305e-429d-a209-fa79ec302afd</x:v>
      </x:c>
      <x:c r="D168" s="21" t="n">
        <x:v>5</x:v>
      </x:c>
      <x:c r="E168" s="21" t="str">
        <x:v>Resource</x:v>
      </x:c>
      <x:c r="F168" s="21" t="str">
        <x:v>spell_slot_3</x:v>
      </x:c>
      <x:c r="G168" s="21" t="str"/>
      <x:c r="H168" s="21" t="str">
        <x:v>{"by_level":{"5":2,"6":3},"per":"long_rest"}</x:v>
      </x:c>
      <x:c r="I168" s="21" t="str">
        <x:v>verified_partial</x:v>
      </x:c>
      <x:c r="J168" s="21" t="str">
        <x:v>Not tested</x:v>
      </x:c>
      <x:c r="K168" s="21" t="str"/>
      <x:c r="L168" s="21" t="str">
        <x:v>Checklist inventory correction: spell_slot_3 first becomes available at class level 5; it is not part of the level-1 mini-MVP gate. Its Not tested status is intentionally preserved for the later-level phase.</x:v>
      </x:c>
    </x:row>
    <x:row r="169" ht="48" customHeight="1">
      <x:c r="A169" s="21" t="str">
        <x:v>Жрец</x:v>
      </x:c>
      <x:c r="B169" s="21" t="str">
        <x:v>CLASS-cleric</x:v>
      </x:c>
      <x:c r="C169" s="21" t="str">
        <x:v>de7259fa-305e-429d-a209-fa79ec302afd</x:v>
      </x:c>
      <x:c r="D169" s="21" t="n">
        <x:v>7</x:v>
      </x:c>
      <x:c r="E169" s="21" t="str">
        <x:v>Resource</x:v>
      </x:c>
      <x:c r="F169" s="21" t="str">
        <x:v>spell_slot_4</x:v>
      </x:c>
      <x:c r="G169" s="21" t="str"/>
      <x:c r="H169" s="21" t="str">
        <x:v>{"by_level":{"7":1,"8":2,"9":3},"per":"long_rest"}</x:v>
      </x:c>
      <x:c r="I169" s="21" t="str">
        <x:v>verified_partial</x:v>
      </x:c>
      <x:c r="J169" s="21" t="str">
        <x:v>Not tested</x:v>
      </x:c>
      <x:c r="K169" s="21" t="str"/>
      <x:c r="L169" s="21" t="str">
        <x:v>Checklist inventory correction: spell_slot_4 first becomes available at class level 7; it is not part of the level-1 mini-MVP gate. Its Not tested status is intentionally preserved for the later-level phase.</x:v>
      </x:c>
    </x:row>
    <x:row r="170" ht="48" customHeight="1">
      <x:c r="A170" s="21" t="str">
        <x:v>Жрец</x:v>
      </x:c>
      <x:c r="B170" s="21" t="str">
        <x:v>CLASS-cleric</x:v>
      </x:c>
      <x:c r="C170" s="21" t="str">
        <x:v>de7259fa-305e-429d-a209-fa79ec302afd</x:v>
      </x:c>
      <x:c r="D170" s="21" t="n">
        <x:v>9</x:v>
      </x:c>
      <x:c r="E170" s="21" t="str">
        <x:v>Resource</x:v>
      </x:c>
      <x:c r="F170" s="21" t="str">
        <x:v>spell_slot_5</x:v>
      </x:c>
      <x:c r="G170" s="21" t="str"/>
      <x:c r="H170" s="21" t="str">
        <x:v>{"by_level":{"9":1,"10":2,"18":3},"per":"long_rest"}</x:v>
      </x:c>
      <x:c r="I170" s="21" t="str">
        <x:v>verified_partial</x:v>
      </x:c>
      <x:c r="J170" s="21" t="str">
        <x:v>Not tested</x:v>
      </x:c>
      <x:c r="K170" s="21" t="str"/>
      <x:c r="L170" s="21" t="str">
        <x:v>Checklist inventory correction: spell_slot_5 first becomes available at class level 9; it is not part of the level-1 mini-MVP gate. Its Not tested status is intentionally preserved for the later-level phase.</x:v>
      </x:c>
    </x:row>
    <x:row r="171" ht="48" customHeight="1">
      <x:c r="A171" s="21" t="str">
        <x:v>Жрец</x:v>
      </x:c>
      <x:c r="B171" s="21" t="str">
        <x:v>CLASS-cleric</x:v>
      </x:c>
      <x:c r="C171" s="21" t="str">
        <x:v>de7259fa-305e-429d-a209-fa79ec302afd</x:v>
      </x:c>
      <x:c r="D171" s="21" t="n">
        <x:v>11</x:v>
      </x:c>
      <x:c r="E171" s="21" t="str">
        <x:v>Resource</x:v>
      </x:c>
      <x:c r="F171" s="21" t="str">
        <x:v>spell_slot_6</x:v>
      </x:c>
      <x:c r="G171" s="21" t="str"/>
      <x:c r="H171" s="21" t="str">
        <x:v>{"by_level":{"11":1,"19":2},"per":"long_rest"}</x:v>
      </x:c>
      <x:c r="I171" s="21" t="str">
        <x:v>verified_partial</x:v>
      </x:c>
      <x:c r="J171" s="21" t="str">
        <x:v>Not tested</x:v>
      </x:c>
      <x:c r="K171" s="21" t="str"/>
      <x:c r="L171" s="21" t="str">
        <x:v>Checklist inventory correction: spell_slot_6 first becomes available at class level 11; it is not part of the level-1 mini-MVP gate. Its Not tested status is intentionally preserved for the later-level phase.</x:v>
      </x:c>
    </x:row>
    <x:row r="172" ht="48" customHeight="1">
      <x:c r="A172" s="21" t="str">
        <x:v>Жрец</x:v>
      </x:c>
      <x:c r="B172" s="21" t="str">
        <x:v>CLASS-cleric</x:v>
      </x:c>
      <x:c r="C172" s="21" t="str">
        <x:v>de7259fa-305e-429d-a209-fa79ec302afd</x:v>
      </x:c>
      <x:c r="D172" s="21" t="n">
        <x:v>13</x:v>
      </x:c>
      <x:c r="E172" s="21" t="str">
        <x:v>Resource</x:v>
      </x:c>
      <x:c r="F172" s="21" t="str">
        <x:v>spell_slot_7</x:v>
      </x:c>
      <x:c r="G172" s="21" t="str"/>
      <x:c r="H172" s="21" t="str">
        <x:v>{"by_level":{"13":1,"20":2},"per":"long_rest"}</x:v>
      </x:c>
      <x:c r="I172" s="21" t="str">
        <x:v>verified_partial</x:v>
      </x:c>
      <x:c r="J172" s="21" t="str">
        <x:v>Not tested</x:v>
      </x:c>
      <x:c r="K172" s="21" t="str"/>
      <x:c r="L172" s="21" t="str">
        <x:v>Checklist inventory correction: spell_slot_7 first becomes available at class level 13; it is not part of the level-1 mini-MVP gate. Its Not tested status is intentionally preserved for the later-level phase.</x:v>
      </x:c>
    </x:row>
    <x:row r="173" ht="48" customHeight="1">
      <x:c r="A173" s="21" t="str">
        <x:v>Жрец</x:v>
      </x:c>
      <x:c r="B173" s="21" t="str">
        <x:v>CLASS-cleric</x:v>
      </x:c>
      <x:c r="C173" s="21" t="str">
        <x:v>de7259fa-305e-429d-a209-fa79ec302afd</x:v>
      </x:c>
      <x:c r="D173" s="21" t="n">
        <x:v>15</x:v>
      </x:c>
      <x:c r="E173" s="21" t="str">
        <x:v>Resource</x:v>
      </x:c>
      <x:c r="F173" s="21" t="str">
        <x:v>spell_slot_8</x:v>
      </x:c>
      <x:c r="G173" s="21" t="str"/>
      <x:c r="H173" s="21" t="str">
        <x:v>{"by_level":{"15":1},"per":"long_rest"}</x:v>
      </x:c>
      <x:c r="I173" s="21" t="str">
        <x:v>verified_partial</x:v>
      </x:c>
      <x:c r="J173" s="21" t="str">
        <x:v>Not tested</x:v>
      </x:c>
      <x:c r="K173" s="21" t="str"/>
      <x:c r="L173" s="21" t="str">
        <x:v>Checklist inventory correction: spell_slot_8 first becomes available at class level 15; it is not part of the level-1 mini-MVP gate. Its Not tested status is intentionally preserved for the later-level phase.</x:v>
      </x:c>
    </x:row>
    <x:row r="174" ht="48" customHeight="1">
      <x:c r="A174" s="21" t="str">
        <x:v>Жрец</x:v>
      </x:c>
      <x:c r="B174" s="21" t="str">
        <x:v>CLASS-cleric</x:v>
      </x:c>
      <x:c r="C174" s="21" t="str">
        <x:v>de7259fa-305e-429d-a209-fa79ec302afd</x:v>
      </x:c>
      <x:c r="D174" s="21" t="n">
        <x:v>17</x:v>
      </x:c>
      <x:c r="E174" s="21" t="str">
        <x:v>Resource</x:v>
      </x:c>
      <x:c r="F174" s="21" t="str">
        <x:v>spell_slot_9</x:v>
      </x:c>
      <x:c r="G174" s="21" t="str"/>
      <x:c r="H174" s="21" t="str">
        <x:v>{"by_level":{"17":1},"per":"long_rest"}</x:v>
      </x:c>
      <x:c r="I174" s="21" t="str">
        <x:v>verified_partial</x:v>
      </x:c>
      <x:c r="J174" s="21" t="str">
        <x:v>Not tested</x:v>
      </x:c>
      <x:c r="K174" s="21" t="str"/>
      <x:c r="L174" s="21" t="str">
        <x:v>Checklist inventory correction: spell_slot_9 first becomes available at class level 17; it is not part of the level-1 mini-MVP gate. Its Not tested status is intentionally preserved for the later-level phase.</x:v>
      </x:c>
    </x:row>
    <x:row r="175" ht="48" customHeight="1">
      <x:c r="A175" s="21" t="str">
        <x:v>Жрец</x:v>
      </x:c>
      <x:c r="B175" s="21" t="str">
        <x:v>CLASS-cleric</x:v>
      </x:c>
      <x:c r="C175" s="21" t="str">
        <x:v>de7259fa-305e-429d-a209-fa79ec302afd</x:v>
      </x:c>
      <x:c r="D175" s="21" t="n">
        <x:v>1</x:v>
      </x:c>
      <x:c r="E175" s="21" t="str">
        <x:v>Effect</x:v>
      </x:c>
      <x:c r="F175" s="21" t="str">
        <x:v>Использование заклинаний (жрец)</x:v>
      </x:c>
      <x:c r="G175" s="21" t="str">
        <x:v>EFF-cleric-spellcasting · 438229f4-ac52-4250-af9a-8be69435ef4b</x:v>
      </x:c>
      <x:c r="H175" s="21" t="str">
        <x:v>Заговоры и подготовленные заклинания. | Activation: passive | Effects: [{"resolution":"auto","result":[{"ability":"wis","kind":"spellcasting_ability","role":"primary"},{"description":"Подготовка заклинаний жреца. МДР — характеристика заклинаний.","kind":"narrative"}]},{"count":3,"grant":{"kind":"grant_spell","label":"cantrip"},"id":"cleric_cantrips","kind":"choice","options":{"filter":{"classes":["жрец"],"levels":[0]},"source":"spell"},"prompt":"Выберите 3 заговора жреца","resolution":"on_acquire"},{"count":4,"grant":{"kind":"grant_spell","label":"prepared"},"id":"cleric_spells_l1","…</x:v>
      </x:c>
      <x:c r="I175" s="21" t="str">
        <x:v>verified_mechanical</x:v>
      </x:c>
      <x:c r="J175" s="21" t="str">
        <x:v>Passed</x:v>
      </x:c>
      <x:c r="K175" s="21" t="str"/>
      <x:c r="L17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176" ht="48" customHeight="1">
      <x:c r="A176" s="21" t="str">
        <x:v>Жрец</x:v>
      </x:c>
      <x:c r="B176" s="21" t="str">
        <x:v>CLASS-cleric</x:v>
      </x:c>
      <x:c r="C176" s="21" t="str">
        <x:v>de7259fa-305e-429d-a209-fa79ec302afd</x:v>
      </x:c>
      <x:c r="D176" s="21" t="n">
        <x:v>1</x:v>
      </x:c>
      <x:c r="E176" s="21" t="str">
        <x:v>Effect</x:v>
      </x:c>
      <x:c r="F176" s="21" t="str">
        <x:v>Божественный орден</x:v>
      </x:c>
      <x:c r="G176" s="21" t="str">
        <x:v>EFF-divine-order · 46aec414-906e-4b1f-a2f9-629ec220a9c4</x:v>
      </x:c>
      <x:c r="H176" s="21" t="str">
        <x:v>Вы посвящаете себя одной из священных ролей: Защитник — владение Воинским оружием и навык обращения с Тяжёлыми доспехами; Чудотворец — один дополнительный заговор из списка заклинаний Жреца и бонус к проверкам Интеллекта (Тайная магия или Религия), равный вашему модификатору Мудрости (минимум +1). | Activation: passive | Effects: [{"count":1,"id":"cleric_divine_order","kind":"choice","options":{"items":[{"grants":[{"kind":"grant_proficiency","prof":"armor","value":"heavy"},{"kind":"grant_proficiency","prof":"weapon","value":"martial"}],"id":"protector","name":"Защитник"},{"grants":[{"count":1,"grant":{"kind":"grant_spell","label":"cantrip"},"id":"cleric_thaumaturge_cantrip","kind":"choice","options":{"filter":{"classes":["жрец"],"levels":[0]},"source":"spell"},"prompt":"Дополнительный заговор жреца","resolution":"on_acquire"},{"applies_to"…</x:v>
      </x:c>
      <x:c r="I176" s="21" t="str">
        <x:v>verified_mechanical</x:v>
      </x:c>
      <x:c r="J176" s="21" t="str">
        <x:v>Passed</x:v>
      </x:c>
      <x:c r="K176" s="21" t="str"/>
      <x:c r="L176"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177" ht="48" customHeight="1">
      <x:c r="A177" s="21" t="str">
        <x:v>Жрец</x:v>
      </x:c>
      <x:c r="B177" s="21" t="str">
        <x:v>CLASS-cleric</x:v>
      </x:c>
      <x:c r="C177" s="21" t="str">
        <x:v>de7259fa-305e-429d-a209-fa79ec302afd</x:v>
      </x:c>
      <x:c r="D177" s="21" t="n">
        <x:v>2</x:v>
      </x:c>
      <x:c r="E177" s="21" t="str">
        <x:v>Effect</x:v>
      </x:c>
      <x:c r="F177" s="21" t="str">
        <x:v>Канал божественности</x:v>
      </x:c>
      <x:c r="G177" s="21" t="str">
        <x:v>EFF-channel-divinity · 3f2752ed-50b3-4328-961c-795df7241f0d</x:v>
      </x:c>
      <x:c r="H177" s="21" t="str">
        <x:v>Божественная сила жреца. | Activation: passive | Effects: [{"resolution":"auto","result":[{"description":"Канал божественности (1/короткий отдых): эффект божественного домена.","kind":"narrative"}]}]</x:v>
      </x:c>
      <x:c r="I177" s="21" t="str">
        <x:v>verified_mechanical</x:v>
      </x:c>
      <x:c r="J177" s="21" t="str">
        <x:v>Not tested</x:v>
      </x:c>
      <x:c r="K177" s="21" t="str"/>
      <x:c r="L177" s="21" t="str"/>
    </x:row>
    <x:row r="178" ht="48" customHeight="1">
      <x:c r="A178" s="21" t="str">
        <x:v>Жрец</x:v>
      </x:c>
      <x:c r="B178" s="21" t="str">
        <x:v>CLASS-cleric</x:v>
      </x:c>
      <x:c r="C178" s="21" t="str">
        <x:v>de7259fa-305e-429d-a209-fa79ec302afd</x:v>
      </x:c>
      <x:c r="D178" s="21" t="n">
        <x:v>2</x:v>
      </x:c>
      <x:c r="E178" s="21" t="str">
        <x:v>Effect</x:v>
      </x:c>
      <x:c r="F178" s="21" t="str">
        <x:v>Заклинания (жрец)</x:v>
      </x:c>
      <x:c r="G178" s="21" t="str">
        <x:v>caster-cleric-spells · d5a4b06b-0ff1-4c72-9151-cb3aaf3a20b5</x:v>
      </x:c>
      <x:c r="H178"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78" s="21" t="str">
        <x:v>verified_mechanical</x:v>
      </x:c>
      <x:c r="J178" s="21" t="str">
        <x:v>Not tested</x:v>
      </x:c>
      <x:c r="K178" s="21" t="str"/>
      <x:c r="L178" s="21" t="str"/>
    </x:row>
    <x:row r="179" ht="48" customHeight="1">
      <x:c r="A179" s="21" t="str">
        <x:v>Жрец</x:v>
      </x:c>
      <x:c r="B179" s="21" t="str">
        <x:v>CLASS-cleric</x:v>
      </x:c>
      <x:c r="C179" s="21" t="str">
        <x:v>de7259fa-305e-429d-a209-fa79ec302afd</x:v>
      </x:c>
      <x:c r="D179" s="21" t="n">
        <x:v>3</x:v>
      </x:c>
      <x:c r="E179" s="21" t="str">
        <x:v>Effect</x:v>
      </x:c>
      <x:c r="F179" s="21" t="str">
        <x:v>Заклинания (жрец)</x:v>
      </x:c>
      <x:c r="G179" s="21" t="str">
        <x:v>caster-cleric-spells · d5a4b06b-0ff1-4c72-9151-cb3aaf3a20b5</x:v>
      </x:c>
      <x:c r="H179"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79" s="21" t="str">
        <x:v>verified_mechanical</x:v>
      </x:c>
      <x:c r="J179" s="21" t="str">
        <x:v>Not tested</x:v>
      </x:c>
      <x:c r="K179" s="21" t="str"/>
      <x:c r="L179" s="21" t="str"/>
    </x:row>
    <x:row r="180" ht="48" customHeight="1">
      <x:c r="A180" s="21" t="str">
        <x:v>Жрец</x:v>
      </x:c>
      <x:c r="B180" s="21" t="str">
        <x:v>CLASS-cleric</x:v>
      </x:c>
      <x:c r="C180" s="21" t="str">
        <x:v>de7259fa-305e-429d-a209-fa79ec302afd</x:v>
      </x:c>
      <x:c r="D180" s="21" t="n">
        <x:v>4</x:v>
      </x:c>
      <x:c r="E180" s="21" t="str">
        <x:v>Effect</x:v>
      </x:c>
      <x:c r="F180" s="21" t="str">
        <x:v>Получение черты</x:v>
      </x:c>
      <x:c r="G180" s="21" t="str">
        <x:v>pf_1 · 5dbd9afb-b125-4038-9d51-54819757c777</x:v>
      </x:c>
      <x:c r="H180"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180" s="21" t="str">
        <x:v>verified_mechanical</x:v>
      </x:c>
      <x:c r="J180" s="21" t="str">
        <x:v>Not tested</x:v>
      </x:c>
      <x:c r="K180" s="21" t="str"/>
      <x:c r="L180" s="21" t="str"/>
    </x:row>
    <x:row r="181" ht="48" customHeight="1">
      <x:c r="A181" s="21" t="str">
        <x:v>Жрец</x:v>
      </x:c>
      <x:c r="B181" s="21" t="str">
        <x:v>CLASS-cleric</x:v>
      </x:c>
      <x:c r="C181" s="21" t="str">
        <x:v>de7259fa-305e-429d-a209-fa79ec302afd</x:v>
      </x:c>
      <x:c r="D181" s="21" t="n">
        <x:v>4</x:v>
      </x:c>
      <x:c r="E181" s="21" t="str">
        <x:v>Effect</x:v>
      </x:c>
      <x:c r="F181" s="21" t="str">
        <x:v>Заклинания (жрец)</x:v>
      </x:c>
      <x:c r="G181" s="21" t="str">
        <x:v>caster-cleric-spells · d5a4b06b-0ff1-4c72-9151-cb3aaf3a20b5</x:v>
      </x:c>
      <x:c r="H181"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1" s="21" t="str">
        <x:v>verified_mechanical</x:v>
      </x:c>
      <x:c r="J181" s="21" t="str">
        <x:v>Not tested</x:v>
      </x:c>
      <x:c r="K181" s="21" t="str"/>
      <x:c r="L181" s="21" t="str"/>
    </x:row>
    <x:row r="182" ht="48" customHeight="1">
      <x:c r="A182" s="21" t="str">
        <x:v>Жрец</x:v>
      </x:c>
      <x:c r="B182" s="21" t="str">
        <x:v>CLASS-cleric</x:v>
      </x:c>
      <x:c r="C182" s="21" t="str">
        <x:v>de7259fa-305e-429d-a209-fa79ec302afd</x:v>
      </x:c>
      <x:c r="D182" s="21" t="n">
        <x:v>4</x:v>
      </x:c>
      <x:c r="E182" s="21" t="str">
        <x:v>Effect</x:v>
      </x:c>
      <x:c r="F182" s="21" t="str">
        <x:v>Заговоры (жрец)</x:v>
      </x:c>
      <x:c r="G182" s="21" t="str">
        <x:v>caster-cleric-cantrips · 02db4314-3ffd-4ded-a4a2-4456962dc7f4</x:v>
      </x:c>
      <x:c r="H182" s="21" t="str">
        <x:v>Дополнительные заговоры жреца. Повторяемый: по одному на прикрепление. | Activation: passive | Effects: [{"resolution":"auto","result":[{"count":1,"grant":{"kind":"grant_spell","label":"cantrip"},"id":"cleric_cantrip_growth","kind":"choice","options":{"filter":{"classes":["жрец"],"levels":[0]},"source":"spell"},"prompt":"Выберите заговор","resolution":"on_acquire"}]}]</x:v>
      </x:c>
      <x:c r="I182" s="21" t="str">
        <x:v>verified_mechanical</x:v>
      </x:c>
      <x:c r="J182" s="21" t="str">
        <x:v>Not tested</x:v>
      </x:c>
      <x:c r="K182" s="21" t="str"/>
      <x:c r="L182" s="21" t="str"/>
    </x:row>
    <x:row r="183" ht="48" customHeight="1">
      <x:c r="A183" s="21" t="str">
        <x:v>Жрец</x:v>
      </x:c>
      <x:c r="B183" s="21" t="str">
        <x:v>CLASS-cleric</x:v>
      </x:c>
      <x:c r="C183" s="21" t="str">
        <x:v>de7259fa-305e-429d-a209-fa79ec302afd</x:v>
      </x:c>
      <x:c r="D183" s="21" t="n">
        <x:v>5</x:v>
      </x:c>
      <x:c r="E183" s="21" t="str">
        <x:v>Effect</x:v>
      </x:c>
      <x:c r="F183" s="21" t="str">
        <x:v>Заклинания (жрец)</x:v>
      </x:c>
      <x:c r="G183" s="21" t="str">
        <x:v>caster-cleric-spells · d5a4b06b-0ff1-4c72-9151-cb3aaf3a20b5</x:v>
      </x:c>
      <x:c r="H183"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3" s="21" t="str">
        <x:v>verified_mechanical</x:v>
      </x:c>
      <x:c r="J183" s="21" t="str">
        <x:v>Not tested</x:v>
      </x:c>
      <x:c r="K183" s="21" t="str"/>
      <x:c r="L183" s="21" t="str"/>
    </x:row>
    <x:row r="184" ht="48" customHeight="1">
      <x:c r="A184" s="21" t="str">
        <x:v>Жрец</x:v>
      </x:c>
      <x:c r="B184" s="21" t="str">
        <x:v>CLASS-cleric</x:v>
      </x:c>
      <x:c r="C184" s="21" t="str">
        <x:v>de7259fa-305e-429d-a209-fa79ec302afd</x:v>
      </x:c>
      <x:c r="D184" s="21" t="n">
        <x:v>6</x:v>
      </x:c>
      <x:c r="E184" s="21" t="str">
        <x:v>Effect</x:v>
      </x:c>
      <x:c r="F184" s="21" t="str">
        <x:v>Заклинания (жрец)</x:v>
      </x:c>
      <x:c r="G184" s="21" t="str">
        <x:v>caster-cleric-spells · d5a4b06b-0ff1-4c72-9151-cb3aaf3a20b5</x:v>
      </x:c>
      <x:c r="H184"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4" s="21" t="str">
        <x:v>verified_mechanical</x:v>
      </x:c>
      <x:c r="J184" s="21" t="str">
        <x:v>Not tested</x:v>
      </x:c>
      <x:c r="K184" s="21" t="str"/>
      <x:c r="L184" s="21" t="str"/>
    </x:row>
    <x:row r="185" ht="48" customHeight="1">
      <x:c r="A185" s="21" t="str">
        <x:v>Жрец</x:v>
      </x:c>
      <x:c r="B185" s="21" t="str">
        <x:v>CLASS-cleric</x:v>
      </x:c>
      <x:c r="C185" s="21" t="str">
        <x:v>de7259fa-305e-429d-a209-fa79ec302afd</x:v>
      </x:c>
      <x:c r="D185" s="21" t="n">
        <x:v>7</x:v>
      </x:c>
      <x:c r="E185" s="21" t="str">
        <x:v>Effect</x:v>
      </x:c>
      <x:c r="F185" s="21" t="str">
        <x:v>Заклинания (жрец)</x:v>
      </x:c>
      <x:c r="G185" s="21" t="str">
        <x:v>caster-cleric-spells · d5a4b06b-0ff1-4c72-9151-cb3aaf3a20b5</x:v>
      </x:c>
      <x:c r="H185"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5" s="21" t="str">
        <x:v>verified_mechanical</x:v>
      </x:c>
      <x:c r="J185" s="21" t="str">
        <x:v>Not tested</x:v>
      </x:c>
      <x:c r="K185" s="21" t="str"/>
      <x:c r="L185" s="21" t="str"/>
    </x:row>
    <x:row r="186" ht="48" customHeight="1">
      <x:c r="A186" s="21" t="str">
        <x:v>Жрец</x:v>
      </x:c>
      <x:c r="B186" s="21" t="str">
        <x:v>CLASS-cleric</x:v>
      </x:c>
      <x:c r="C186" s="21" t="str">
        <x:v>de7259fa-305e-429d-a209-fa79ec302afd</x:v>
      </x:c>
      <x:c r="D186" s="21" t="n">
        <x:v>8</x:v>
      </x:c>
      <x:c r="E186" s="21" t="str">
        <x:v>Effect</x:v>
      </x:c>
      <x:c r="F186" s="21" t="str">
        <x:v>Получение черты · слот 2</x:v>
      </x:c>
      <x:c r="G186" s="21" t="str">
        <x:v>pf_2 · 55689cd6-f67f-4368-8a96-53bc134fd78b</x:v>
      </x:c>
      <x:c r="H186" s="21" t="str">
        <x:v>Получение черты · слот 2 | Activation: passive | Effects: [{"grant":{"kind":"grant_feat"},"id":"gain_feat","kind":"choice","options":{"categories":["origin","general"],"source":"feat"},"prompt":"Получение черты"}]</x:v>
      </x:c>
      <x:c r="I186" s="21" t="str">
        <x:v>verified_mechanical</x:v>
      </x:c>
      <x:c r="J186" s="21" t="str">
        <x:v>Not tested</x:v>
      </x:c>
      <x:c r="K186" s="21" t="str"/>
      <x:c r="L186" s="21" t="str"/>
    </x:row>
    <x:row r="187" ht="48" customHeight="1">
      <x:c r="A187" s="21" t="str">
        <x:v>Жрец</x:v>
      </x:c>
      <x:c r="B187" s="21" t="str">
        <x:v>CLASS-cleric</x:v>
      </x:c>
      <x:c r="C187" s="21" t="str">
        <x:v>de7259fa-305e-429d-a209-fa79ec302afd</x:v>
      </x:c>
      <x:c r="D187" s="21" t="n">
        <x:v>8</x:v>
      </x:c>
      <x:c r="E187" s="21" t="str">
        <x:v>Effect</x:v>
      </x:c>
      <x:c r="F187" s="21" t="str">
        <x:v>Заклинания (жрец)</x:v>
      </x:c>
      <x:c r="G187" s="21" t="str">
        <x:v>caster-cleric-spells · d5a4b06b-0ff1-4c72-9151-cb3aaf3a20b5</x:v>
      </x:c>
      <x:c r="H187"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7" s="21" t="str">
        <x:v>verified_mechanical</x:v>
      </x:c>
      <x:c r="J187" s="21" t="str">
        <x:v>Not tested</x:v>
      </x:c>
      <x:c r="K187" s="21" t="str"/>
      <x:c r="L187" s="21" t="str"/>
    </x:row>
    <x:row r="188" ht="48" customHeight="1">
      <x:c r="A188" s="21" t="str">
        <x:v>Жрец</x:v>
      </x:c>
      <x:c r="B188" s="21" t="str">
        <x:v>CLASS-cleric</x:v>
      </x:c>
      <x:c r="C188" s="21" t="str">
        <x:v>de7259fa-305e-429d-a209-fa79ec302afd</x:v>
      </x:c>
      <x:c r="D188" s="21" t="n">
        <x:v>9</x:v>
      </x:c>
      <x:c r="E188" s="21" t="str">
        <x:v>Effect</x:v>
      </x:c>
      <x:c r="F188" s="21" t="str">
        <x:v>Заклинания (жрец)</x:v>
      </x:c>
      <x:c r="G188" s="21" t="str">
        <x:v>caster-cleric-spells · d5a4b06b-0ff1-4c72-9151-cb3aaf3a20b5</x:v>
      </x:c>
      <x:c r="H188"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8" s="21" t="str">
        <x:v>verified_mechanical</x:v>
      </x:c>
      <x:c r="J188" s="21" t="str">
        <x:v>Not tested</x:v>
      </x:c>
      <x:c r="K188" s="21" t="str"/>
      <x:c r="L188" s="21" t="str"/>
    </x:row>
    <x:row r="189" ht="48" customHeight="1">
      <x:c r="A189" s="21" t="str">
        <x:v>Жрец</x:v>
      </x:c>
      <x:c r="B189" s="21" t="str">
        <x:v>CLASS-cleric</x:v>
      </x:c>
      <x:c r="C189" s="21" t="str">
        <x:v>de7259fa-305e-429d-a209-fa79ec302afd</x:v>
      </x:c>
      <x:c r="D189" s="21" t="n">
        <x:v>10</x:v>
      </x:c>
      <x:c r="E189" s="21" t="str">
        <x:v>Effect</x:v>
      </x:c>
      <x:c r="F189" s="21" t="str">
        <x:v>Заклинания (жрец)</x:v>
      </x:c>
      <x:c r="G189" s="21" t="str">
        <x:v>caster-cleric-spells · d5a4b06b-0ff1-4c72-9151-cb3aaf3a20b5</x:v>
      </x:c>
      <x:c r="H189"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89" s="21" t="str">
        <x:v>verified_mechanical</x:v>
      </x:c>
      <x:c r="J189" s="21" t="str">
        <x:v>Not tested</x:v>
      </x:c>
      <x:c r="K189" s="21" t="str"/>
      <x:c r="L189" s="21" t="str"/>
    </x:row>
    <x:row r="190" ht="48" customHeight="1">
      <x:c r="A190" s="21" t="str">
        <x:v>Жрец</x:v>
      </x:c>
      <x:c r="B190" s="21" t="str">
        <x:v>CLASS-cleric</x:v>
      </x:c>
      <x:c r="C190" s="21" t="str">
        <x:v>de7259fa-305e-429d-a209-fa79ec302afd</x:v>
      </x:c>
      <x:c r="D190" s="21" t="n">
        <x:v>10</x:v>
      </x:c>
      <x:c r="E190" s="21" t="str">
        <x:v>Effect</x:v>
      </x:c>
      <x:c r="F190" s="21" t="str">
        <x:v>Заговоры (жрец)</x:v>
      </x:c>
      <x:c r="G190" s="21" t="str">
        <x:v>caster-cleric-cantrips · 02db4314-3ffd-4ded-a4a2-4456962dc7f4</x:v>
      </x:c>
      <x:c r="H190" s="21" t="str">
        <x:v>Дополнительные заговоры жреца. Повторяемый: по одному на прикрепление. | Activation: passive | Effects: [{"resolution":"auto","result":[{"count":1,"grant":{"kind":"grant_spell","label":"cantrip"},"id":"cleric_cantrip_growth","kind":"choice","options":{"filter":{"classes":["жрец"],"levels":[0]},"source":"spell"},"prompt":"Выберите заговор","resolution":"on_acquire"}]}]</x:v>
      </x:c>
      <x:c r="I190" s="21" t="str">
        <x:v>verified_mechanical</x:v>
      </x:c>
      <x:c r="J190" s="21" t="str">
        <x:v>Not tested</x:v>
      </x:c>
      <x:c r="K190" s="21" t="str"/>
      <x:c r="L190" s="21" t="str"/>
    </x:row>
    <x:row r="191" ht="48" customHeight="1">
      <x:c r="A191" s="21" t="str">
        <x:v>Жрец</x:v>
      </x:c>
      <x:c r="B191" s="21" t="str">
        <x:v>CLASS-cleric</x:v>
      </x:c>
      <x:c r="C191" s="21" t="str">
        <x:v>de7259fa-305e-429d-a209-fa79ec302afd</x:v>
      </x:c>
      <x:c r="D191" s="21" t="n">
        <x:v>11</x:v>
      </x:c>
      <x:c r="E191" s="21" t="str">
        <x:v>Effect</x:v>
      </x:c>
      <x:c r="F191" s="21" t="str">
        <x:v>Заклинания (жрец)</x:v>
      </x:c>
      <x:c r="G191" s="21" t="str">
        <x:v>caster-cleric-spells · d5a4b06b-0ff1-4c72-9151-cb3aaf3a20b5</x:v>
      </x:c>
      <x:c r="H191"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1" s="21" t="str">
        <x:v>verified_mechanical</x:v>
      </x:c>
      <x:c r="J191" s="21" t="str">
        <x:v>Not tested</x:v>
      </x:c>
      <x:c r="K191" s="21" t="str"/>
      <x:c r="L191" s="21" t="str"/>
    </x:row>
    <x:row r="192" ht="48" customHeight="1">
      <x:c r="A192" s="21" t="str">
        <x:v>Жрец</x:v>
      </x:c>
      <x:c r="B192" s="21" t="str">
        <x:v>CLASS-cleric</x:v>
      </x:c>
      <x:c r="C192" s="21" t="str">
        <x:v>de7259fa-305e-429d-a209-fa79ec302afd</x:v>
      </x:c>
      <x:c r="D192" s="21" t="n">
        <x:v>12</x:v>
      </x:c>
      <x:c r="E192" s="21" t="str">
        <x:v>Effect</x:v>
      </x:c>
      <x:c r="F192" s="21" t="str">
        <x:v>Получение черты · слот 3</x:v>
      </x:c>
      <x:c r="G192" s="21" t="str">
        <x:v>pf_3 · 6ec4b5ab-4abc-47af-b45a-560ca2a1bb07</x:v>
      </x:c>
      <x:c r="H192" s="21" t="str">
        <x:v>Получение черты · слот 3 | Activation: passive | Effects: [{"grant":{"kind":"grant_feat"},"id":"gain_feat","kind":"choice","options":{"categories":["origin","general"],"source":"feat"},"prompt":"Получение черты"}]</x:v>
      </x:c>
      <x:c r="I192" s="21" t="str">
        <x:v>verified_mechanical</x:v>
      </x:c>
      <x:c r="J192" s="21" t="str">
        <x:v>Not tested</x:v>
      </x:c>
      <x:c r="K192" s="21" t="str"/>
      <x:c r="L192" s="21" t="str"/>
    </x:row>
    <x:row r="193" ht="48" customHeight="1">
      <x:c r="A193" s="21" t="str">
        <x:v>Жрец</x:v>
      </x:c>
      <x:c r="B193" s="21" t="str">
        <x:v>CLASS-cleric</x:v>
      </x:c>
      <x:c r="C193" s="21" t="str">
        <x:v>de7259fa-305e-429d-a209-fa79ec302afd</x:v>
      </x:c>
      <x:c r="D193" s="21" t="n">
        <x:v>12</x:v>
      </x:c>
      <x:c r="E193" s="21" t="str">
        <x:v>Effect</x:v>
      </x:c>
      <x:c r="F193" s="21" t="str">
        <x:v>Заклинания (жрец)</x:v>
      </x:c>
      <x:c r="G193" s="21" t="str">
        <x:v>caster-cleric-spells · d5a4b06b-0ff1-4c72-9151-cb3aaf3a20b5</x:v>
      </x:c>
      <x:c r="H193"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3" s="21" t="str">
        <x:v>verified_mechanical</x:v>
      </x:c>
      <x:c r="J193" s="21" t="str">
        <x:v>Not tested</x:v>
      </x:c>
      <x:c r="K193" s="21" t="str"/>
      <x:c r="L193" s="21" t="str"/>
    </x:row>
    <x:row r="194" ht="48" customHeight="1">
      <x:c r="A194" s="21" t="str">
        <x:v>Жрец</x:v>
      </x:c>
      <x:c r="B194" s="21" t="str">
        <x:v>CLASS-cleric</x:v>
      </x:c>
      <x:c r="C194" s="21" t="str">
        <x:v>de7259fa-305e-429d-a209-fa79ec302afd</x:v>
      </x:c>
      <x:c r="D194" s="21" t="n">
        <x:v>13</x:v>
      </x:c>
      <x:c r="E194" s="21" t="str">
        <x:v>Effect</x:v>
      </x:c>
      <x:c r="F194" s="21" t="str">
        <x:v>Заклинания (жрец)</x:v>
      </x:c>
      <x:c r="G194" s="21" t="str">
        <x:v>caster-cleric-spells · d5a4b06b-0ff1-4c72-9151-cb3aaf3a20b5</x:v>
      </x:c>
      <x:c r="H194"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4" s="21" t="str">
        <x:v>verified_mechanical</x:v>
      </x:c>
      <x:c r="J194" s="21" t="str">
        <x:v>Not tested</x:v>
      </x:c>
      <x:c r="K194" s="21" t="str"/>
      <x:c r="L194" s="21" t="str"/>
    </x:row>
    <x:row r="195" ht="48" customHeight="1">
      <x:c r="A195" s="21" t="str">
        <x:v>Жрец</x:v>
      </x:c>
      <x:c r="B195" s="21" t="str">
        <x:v>CLASS-cleric</x:v>
      </x:c>
      <x:c r="C195" s="21" t="str">
        <x:v>de7259fa-305e-429d-a209-fa79ec302afd</x:v>
      </x:c>
      <x:c r="D195" s="21" t="n">
        <x:v>14</x:v>
      </x:c>
      <x:c r="E195" s="21" t="str">
        <x:v>Effect</x:v>
      </x:c>
      <x:c r="F195" s="21" t="str">
        <x:v>Заклинания (жрец)</x:v>
      </x:c>
      <x:c r="G195" s="21" t="str">
        <x:v>caster-cleric-spells · d5a4b06b-0ff1-4c72-9151-cb3aaf3a20b5</x:v>
      </x:c>
      <x:c r="H195"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5" s="21" t="str">
        <x:v>verified_mechanical</x:v>
      </x:c>
      <x:c r="J195" s="21" t="str">
        <x:v>Not tested</x:v>
      </x:c>
      <x:c r="K195" s="21" t="str"/>
      <x:c r="L195" s="21" t="str"/>
    </x:row>
    <x:row r="196" ht="48" customHeight="1">
      <x:c r="A196" s="21" t="str">
        <x:v>Жрец</x:v>
      </x:c>
      <x:c r="B196" s="21" t="str">
        <x:v>CLASS-cleric</x:v>
      </x:c>
      <x:c r="C196" s="21" t="str">
        <x:v>de7259fa-305e-429d-a209-fa79ec302afd</x:v>
      </x:c>
      <x:c r="D196" s="21" t="n">
        <x:v>15</x:v>
      </x:c>
      <x:c r="E196" s="21" t="str">
        <x:v>Effect</x:v>
      </x:c>
      <x:c r="F196" s="21" t="str">
        <x:v>Заклинания (жрец)</x:v>
      </x:c>
      <x:c r="G196" s="21" t="str">
        <x:v>caster-cleric-spells · d5a4b06b-0ff1-4c72-9151-cb3aaf3a20b5</x:v>
      </x:c>
      <x:c r="H196"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6" s="21" t="str">
        <x:v>verified_mechanical</x:v>
      </x:c>
      <x:c r="J196" s="21" t="str">
        <x:v>Not tested</x:v>
      </x:c>
      <x:c r="K196" s="21" t="str"/>
      <x:c r="L196" s="21" t="str"/>
    </x:row>
    <x:row r="197" ht="48" customHeight="1">
      <x:c r="A197" s="21" t="str">
        <x:v>Жрец</x:v>
      </x:c>
      <x:c r="B197" s="21" t="str">
        <x:v>CLASS-cleric</x:v>
      </x:c>
      <x:c r="C197" s="21" t="str">
        <x:v>de7259fa-305e-429d-a209-fa79ec302afd</x:v>
      </x:c>
      <x:c r="D197" s="21" t="n">
        <x:v>16</x:v>
      </x:c>
      <x:c r="E197" s="21" t="str">
        <x:v>Effect</x:v>
      </x:c>
      <x:c r="F197" s="21" t="str">
        <x:v>Получение черты · слот 4</x:v>
      </x:c>
      <x:c r="G197" s="21" t="str">
        <x:v>pf_4 · f3a0400f-579f-4a68-8105-cfad1d862357</x:v>
      </x:c>
      <x:c r="H197" s="21" t="str">
        <x:v>Получение черты · слот 4 | Activation: passive | Effects: [{"grant":{"kind":"grant_feat"},"id":"gain_feat","kind":"choice","options":{"categories":["origin","general"],"source":"feat"},"prompt":"Получение черты"}]</x:v>
      </x:c>
      <x:c r="I197" s="21" t="str">
        <x:v>verified_mechanical</x:v>
      </x:c>
      <x:c r="J197" s="21" t="str">
        <x:v>Not tested</x:v>
      </x:c>
      <x:c r="K197" s="21" t="str"/>
      <x:c r="L197" s="21" t="str"/>
    </x:row>
    <x:row r="198" ht="48" customHeight="1">
      <x:c r="A198" s="21" t="str">
        <x:v>Жрец</x:v>
      </x:c>
      <x:c r="B198" s="21" t="str">
        <x:v>CLASS-cleric</x:v>
      </x:c>
      <x:c r="C198" s="21" t="str">
        <x:v>de7259fa-305e-429d-a209-fa79ec302afd</x:v>
      </x:c>
      <x:c r="D198" s="21" t="n">
        <x:v>16</x:v>
      </x:c>
      <x:c r="E198" s="21" t="str">
        <x:v>Effect</x:v>
      </x:c>
      <x:c r="F198" s="21" t="str">
        <x:v>Заклинания (жрец)</x:v>
      </x:c>
      <x:c r="G198" s="21" t="str">
        <x:v>caster-cleric-spells · d5a4b06b-0ff1-4c72-9151-cb3aaf3a20b5</x:v>
      </x:c>
      <x:c r="H198"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8" s="21" t="str">
        <x:v>verified_mechanical</x:v>
      </x:c>
      <x:c r="J198" s="21" t="str">
        <x:v>Not tested</x:v>
      </x:c>
      <x:c r="K198" s="21" t="str"/>
      <x:c r="L198" s="21" t="str"/>
    </x:row>
    <x:row r="199" ht="48" customHeight="1">
      <x:c r="A199" s="21" t="str">
        <x:v>Жрец</x:v>
      </x:c>
      <x:c r="B199" s="21" t="str">
        <x:v>CLASS-cleric</x:v>
      </x:c>
      <x:c r="C199" s="21" t="str">
        <x:v>de7259fa-305e-429d-a209-fa79ec302afd</x:v>
      </x:c>
      <x:c r="D199" s="21" t="n">
        <x:v>17</x:v>
      </x:c>
      <x:c r="E199" s="21" t="str">
        <x:v>Effect</x:v>
      </x:c>
      <x:c r="F199" s="21" t="str">
        <x:v>Заклинания (жрец)</x:v>
      </x:c>
      <x:c r="G199" s="21" t="str">
        <x:v>caster-cleric-spells · d5a4b06b-0ff1-4c72-9151-cb3aaf3a20b5</x:v>
      </x:c>
      <x:c r="H199"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199" s="21" t="str">
        <x:v>verified_mechanical</x:v>
      </x:c>
      <x:c r="J199" s="21" t="str">
        <x:v>Not tested</x:v>
      </x:c>
      <x:c r="K199" s="21" t="str"/>
      <x:c r="L199" s="21" t="str"/>
    </x:row>
    <x:row r="200" ht="48" customHeight="1">
      <x:c r="A200" s="21" t="str">
        <x:v>Жрец</x:v>
      </x:c>
      <x:c r="B200" s="21" t="str">
        <x:v>CLASS-cleric</x:v>
      </x:c>
      <x:c r="C200" s="21" t="str">
        <x:v>de7259fa-305e-429d-a209-fa79ec302afd</x:v>
      </x:c>
      <x:c r="D200" s="21" t="n">
        <x:v>18</x:v>
      </x:c>
      <x:c r="E200" s="21" t="str">
        <x:v>Effect</x:v>
      </x:c>
      <x:c r="F200" s="21" t="str">
        <x:v>Заклинания (жрец)</x:v>
      </x:c>
      <x:c r="G200" s="21" t="str">
        <x:v>caster-cleric-spells · d5a4b06b-0ff1-4c72-9151-cb3aaf3a20b5</x:v>
      </x:c>
      <x:c r="H200"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200" s="21" t="str">
        <x:v>verified_mechanical</x:v>
      </x:c>
      <x:c r="J200" s="21" t="str">
        <x:v>Not tested</x:v>
      </x:c>
      <x:c r="K200" s="21" t="str"/>
      <x:c r="L200" s="21" t="str"/>
    </x:row>
    <x:row r="201" ht="48" customHeight="1">
      <x:c r="A201" s="21" t="str">
        <x:v>Жрец</x:v>
      </x:c>
      <x:c r="B201" s="21" t="str">
        <x:v>CLASS-cleric</x:v>
      </x:c>
      <x:c r="C201" s="21" t="str">
        <x:v>de7259fa-305e-429d-a209-fa79ec302afd</x:v>
      </x:c>
      <x:c r="D201" s="21" t="n">
        <x:v>19</x:v>
      </x:c>
      <x:c r="E201" s="21" t="str">
        <x:v>Effect</x:v>
      </x:c>
      <x:c r="F201" s="21" t="str">
        <x:v>Получение черты · слот 5</x:v>
      </x:c>
      <x:c r="G201" s="21" t="str">
        <x:v>pf_5 · f5694b06-f2f8-40a7-8521-cc6bfe1e93c6</x:v>
      </x:c>
      <x:c r="H201" s="21" t="str">
        <x:v>Получение черты · слот 5 | Activation: passive | Effects: [{"grant":{"kind":"grant_feat"},"id":"gain_feat","kind":"choice","options":{"categories":["origin","general"],"source":"feat"},"prompt":"Получение черты"}]</x:v>
      </x:c>
      <x:c r="I201" s="21" t="str">
        <x:v>verified_mechanical</x:v>
      </x:c>
      <x:c r="J201" s="21" t="str">
        <x:v>Not tested</x:v>
      </x:c>
      <x:c r="K201" s="21" t="str"/>
      <x:c r="L201" s="21" t="str"/>
    </x:row>
    <x:row r="202" ht="48" customHeight="1">
      <x:c r="A202" s="21" t="str">
        <x:v>Жрец</x:v>
      </x:c>
      <x:c r="B202" s="21" t="str">
        <x:v>CLASS-cleric</x:v>
      </x:c>
      <x:c r="C202" s="21" t="str">
        <x:v>de7259fa-305e-429d-a209-fa79ec302afd</x:v>
      </x:c>
      <x:c r="D202" s="21" t="n">
        <x:v>19</x:v>
      </x:c>
      <x:c r="E202" s="21" t="str">
        <x:v>Effect</x:v>
      </x:c>
      <x:c r="F202" s="21" t="str">
        <x:v>Заклинания (жрец)</x:v>
      </x:c>
      <x:c r="G202" s="21" t="str">
        <x:v>caster-cleric-spells · d5a4b06b-0ff1-4c72-9151-cb3aaf3a20b5</x:v>
      </x:c>
      <x:c r="H202"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202" s="21" t="str">
        <x:v>verified_mechanical</x:v>
      </x:c>
      <x:c r="J202" s="21" t="str">
        <x:v>Not tested</x:v>
      </x:c>
      <x:c r="K202" s="21" t="str"/>
      <x:c r="L202" s="21" t="str"/>
    </x:row>
    <x:row r="203" ht="48" customHeight="1">
      <x:c r="A203" s="21" t="str">
        <x:v>Жрец</x:v>
      </x:c>
      <x:c r="B203" s="21" t="str">
        <x:v>CLASS-cleric</x:v>
      </x:c>
      <x:c r="C203" s="21" t="str">
        <x:v>de7259fa-305e-429d-a209-fa79ec302afd</x:v>
      </x:c>
      <x:c r="D203" s="21" t="n">
        <x:v>20</x:v>
      </x:c>
      <x:c r="E203" s="21" t="str">
        <x:v>Effect</x:v>
      </x:c>
      <x:c r="F203" s="21" t="str">
        <x:v>Заклинания (жрец)</x:v>
      </x:c>
      <x:c r="G203" s="21" t="str">
        <x:v>caster-cleric-spells · d5a4b06b-0ff1-4c72-9151-cb3aaf3a20b5</x:v>
      </x:c>
      <x:c r="H203" s="21" t="str">
        <x:v>Выбор заклинаний жреца на уровне (доступные круги). Повторяемый: по одному на уровень. | Activation: passive | Effects: [{"resolution":"auto","result":[{"count":1,"grant":{"kind":"grant_spell","label":"known"},"id":"cleric_spells_recurring","kind":"choice","options":{"filter":{"classes":["жрец"],"only_available_slots":true},"source":"spell"},"prompt":"Выберите заклинание","resolution":"on_acquire"}]}]</x:v>
      </x:c>
      <x:c r="I203" s="21" t="str">
        <x:v>verified_mechanical</x:v>
      </x:c>
      <x:c r="J203" s="21" t="str">
        <x:v>Not tested</x:v>
      </x:c>
      <x:c r="K203" s="21" t="str"/>
      <x:c r="L203" s="21" t="str"/>
    </x:row>
    <x:row r="204" ht="48" customHeight="1">
      <x:c r="A204" s="21" t="str">
        <x:v>Колдун</x:v>
      </x:c>
      <x:c r="B204" s="21" t="str">
        <x:v>CLASS-warlock</x:v>
      </x:c>
      <x:c r="C204" s="21" t="str">
        <x:v>5a0403b5-3185-43a2-b187-38397d3d01b7</x:v>
      </x:c>
      <x:c r="D204" s="21" t="n">
        <x:v>1</x:v>
      </x:c>
      <x:c r="E204" s="21" t="str">
        <x:v>Class chassis</x:v>
      </x:c>
      <x:c r="F204" s="21" t="str">
        <x:v>Колдун</x:v>
      </x:c>
      <x:c r="G204" s="21" t="str">
        <x:v>5a0403b5-3185-43a2-b187-38397d3d01b7</x:v>
      </x:c>
      <x:c r="H204" s="21" t="str">
        <x:v>Hit die d8; primary ["cha"]; saves ["wis","cha"]; armor ["light"]; weapons ["simple"]; skills {"count":2,"options":["arcana","deception","history","intimidation","investigation","nature","religion"]}. Заключивший договор с потусторонней сущностью.</x:v>
      </x:c>
      <x:c r="I204" s="21" t="str">
        <x:v>verified_partial</x:v>
      </x:c>
      <x:c r="J204" s="21" t="str">
        <x:v>Passed</x:v>
      </x:c>
      <x:c r="K204" s="21" t="str"/>
      <x:c r="L20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05" ht="48" customHeight="1">
      <x:c r="A205" s="21" t="str">
        <x:v>Колдун</x:v>
      </x:c>
      <x:c r="B205" s="21" t="str">
        <x:v>CLASS-warlock</x:v>
      </x:c>
      <x:c r="C205" s="21" t="str">
        <x:v>5a0403b5-3185-43a2-b187-38397d3d01b7</x:v>
      </x:c>
      <x:c r="D205" s="21" t="n">
        <x:v>1</x:v>
      </x:c>
      <x:c r="E205" s="21" t="str">
        <x:v>Resource</x:v>
      </x:c>
      <x:c r="F205" s="21" t="str">
        <x:v>spell_slot_1</x:v>
      </x:c>
      <x:c r="G205" s="21" t="str"/>
      <x:c r="H205" s="21" t="str">
        <x:v>{"by_level":{"1":1,"2":2,"3":0},"per":"short_rest"}</x:v>
      </x:c>
      <x:c r="I205" s="21" t="str">
        <x:v>verified_partial</x:v>
      </x:c>
      <x:c r="J205" s="21" t="str">
        <x:v>Passed</x:v>
      </x:c>
      <x:c r="K205" s="21" t="str"/>
      <x:c r="L20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06" ht="48" customHeight="1">
      <x:c r="A206" s="21" t="str">
        <x:v>Колдун</x:v>
      </x:c>
      <x:c r="B206" s="21" t="str">
        <x:v>CLASS-warlock</x:v>
      </x:c>
      <x:c r="C206" s="21" t="str">
        <x:v>5a0403b5-3185-43a2-b187-38397d3d01b7</x:v>
      </x:c>
      <x:c r="D206" s="21" t="n">
        <x:v>3</x:v>
      </x:c>
      <x:c r="E206" s="21" t="str">
        <x:v>Resource</x:v>
      </x:c>
      <x:c r="F206" s="21" t="str">
        <x:v>spell_slot_2</x:v>
      </x:c>
      <x:c r="G206" s="21" t="str"/>
      <x:c r="H206" s="21" t="str">
        <x:v>{"by_level":{"3":2,"5":0},"per":"short_rest"}</x:v>
      </x:c>
      <x:c r="I206" s="21" t="str">
        <x:v>verified_partial</x:v>
      </x:c>
      <x:c r="J206" s="21" t="str">
        <x:v>Not tested</x:v>
      </x:c>
      <x:c r="K206" s="21" t="str"/>
      <x:c r="L206" s="21" t="str">
        <x:v>Checklist inventory correction: spell_slot_2 first becomes available at class level 3; it is not part of the level-1 mini-MVP gate. Its Not tested status is intentionally preserved for the later-level phase.</x:v>
      </x:c>
    </x:row>
    <x:row r="207" ht="48" customHeight="1">
      <x:c r="A207" s="21" t="str">
        <x:v>Колдун</x:v>
      </x:c>
      <x:c r="B207" s="21" t="str">
        <x:v>CLASS-warlock</x:v>
      </x:c>
      <x:c r="C207" s="21" t="str">
        <x:v>5a0403b5-3185-43a2-b187-38397d3d01b7</x:v>
      </x:c>
      <x:c r="D207" s="21" t="n">
        <x:v>5</x:v>
      </x:c>
      <x:c r="E207" s="21" t="str">
        <x:v>Resource</x:v>
      </x:c>
      <x:c r="F207" s="21" t="str">
        <x:v>spell_slot_3</x:v>
      </x:c>
      <x:c r="G207" s="21" t="str"/>
      <x:c r="H207" s="21" t="str">
        <x:v>{"by_level":{"5":2,"7":0},"per":"short_rest"}</x:v>
      </x:c>
      <x:c r="I207" s="21" t="str">
        <x:v>verified_partial</x:v>
      </x:c>
      <x:c r="J207" s="21" t="str">
        <x:v>Not tested</x:v>
      </x:c>
      <x:c r="K207" s="21" t="str"/>
      <x:c r="L207" s="21" t="str">
        <x:v>Checklist inventory correction: spell_slot_3 first becomes available at class level 5; it is not part of the level-1 mini-MVP gate. Its Not tested status is intentionally preserved for the later-level phase.</x:v>
      </x:c>
    </x:row>
    <x:row r="208" ht="48" customHeight="1">
      <x:c r="A208" s="21" t="str">
        <x:v>Колдун</x:v>
      </x:c>
      <x:c r="B208" s="21" t="str">
        <x:v>CLASS-warlock</x:v>
      </x:c>
      <x:c r="C208" s="21" t="str">
        <x:v>5a0403b5-3185-43a2-b187-38397d3d01b7</x:v>
      </x:c>
      <x:c r="D208" s="21" t="n">
        <x:v>7</x:v>
      </x:c>
      <x:c r="E208" s="21" t="str">
        <x:v>Resource</x:v>
      </x:c>
      <x:c r="F208" s="21" t="str">
        <x:v>spell_slot_4</x:v>
      </x:c>
      <x:c r="G208" s="21" t="str"/>
      <x:c r="H208" s="21" t="str">
        <x:v>{"by_level":{"7":2,"9":0},"per":"short_rest"}</x:v>
      </x:c>
      <x:c r="I208" s="21" t="str">
        <x:v>verified_partial</x:v>
      </x:c>
      <x:c r="J208" s="21" t="str">
        <x:v>Not tested</x:v>
      </x:c>
      <x:c r="K208" s="21" t="str"/>
      <x:c r="L208" s="21" t="str">
        <x:v>Checklist inventory correction: spell_slot_4 first becomes available at class level 7; it is not part of the level-1 mini-MVP gate. Its Not tested status is intentionally preserved for the later-level phase.</x:v>
      </x:c>
    </x:row>
    <x:row r="209" ht="48" customHeight="1">
      <x:c r="A209" s="21" t="str">
        <x:v>Колдун</x:v>
      </x:c>
      <x:c r="B209" s="21" t="str">
        <x:v>CLASS-warlock</x:v>
      </x:c>
      <x:c r="C209" s="21" t="str">
        <x:v>5a0403b5-3185-43a2-b187-38397d3d01b7</x:v>
      </x:c>
      <x:c r="D209" s="21" t="n">
        <x:v>9</x:v>
      </x:c>
      <x:c r="E209" s="21" t="str">
        <x:v>Resource</x:v>
      </x:c>
      <x:c r="F209" s="21" t="str">
        <x:v>spell_slot_5</x:v>
      </x:c>
      <x:c r="G209" s="21" t="str"/>
      <x:c r="H209" s="21" t="str">
        <x:v>{"by_level":{"9":2,"11":3,"17":4},"per":"short_rest"}</x:v>
      </x:c>
      <x:c r="I209" s="21" t="str">
        <x:v>verified_partial</x:v>
      </x:c>
      <x:c r="J209" s="21" t="str">
        <x:v>Not tested</x:v>
      </x:c>
      <x:c r="K209" s="21" t="str"/>
      <x:c r="L209" s="21" t="str">
        <x:v>Checklist inventory correction: spell_slot_5 first becomes available at class level 9; it is not part of the level-1 mini-MVP gate. Its Not tested status is intentionally preserved for the later-level phase.</x:v>
      </x:c>
    </x:row>
    <x:row r="210" ht="48" customHeight="1">
      <x:c r="A210" s="21" t="str">
        <x:v>Колдун</x:v>
      </x:c>
      <x:c r="B210" s="21" t="str">
        <x:v>CLASS-warlock</x:v>
      </x:c>
      <x:c r="C210" s="21" t="str">
        <x:v>5a0403b5-3185-43a2-b187-38397d3d01b7</x:v>
      </x:c>
      <x:c r="D210" s="21" t="n">
        <x:v>1</x:v>
      </x:c>
      <x:c r="E210" s="21" t="str">
        <x:v>Effect</x:v>
      </x:c>
      <x:c r="F210" s="21" t="str">
        <x:v>Использование заклинаний (колдун)</x:v>
      </x:c>
      <x:c r="G210" s="21" t="str">
        <x:v>EFF-warlock-spellcasting · 567f000b-6554-41d2-9888-8b601afd7f6f</x:v>
      </x:c>
      <x:c r="H210" s="21" t="str">
        <x:v>Pact Magic. | Activation: passive | Effects: [{"resolution":"auto","result":[{"ability":"cha","kind":"spellcasting_ability","role":"primary"},{"description":"Магия договора: ячейки восстанавливаются на коротком отдыхе. ХАР — характеристика.","kind":"narrative"}]},{"count":2,"grant":{"kind":"grant_spell","label":"cantrip"},"id":"warlock_cantrips","kind":"choice","options":{"filter":{"classes":["колдун"],"levels":[0]},"source":"spell"},"prompt":"Выберите 2 заговора колдуна","resolution":"on_acquire"},{"count":2,"grant":{"kind":"grant_spell","label":"known"},"i…</x:v>
      </x:c>
      <x:c r="I210" s="21" t="str">
        <x:v>verified_mechanical</x:v>
      </x:c>
      <x:c r="J210" s="21" t="str">
        <x:v>Passed</x:v>
      </x:c>
      <x:c r="K210" s="21" t="str"/>
      <x:c r="L210"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211" ht="48" customHeight="1">
      <x:c r="A211" s="21" t="str">
        <x:v>Колдун</x:v>
      </x:c>
      <x:c r="B211" s="21" t="str">
        <x:v>CLASS-warlock</x:v>
      </x:c>
      <x:c r="C211" s="21" t="str">
        <x:v>5a0403b5-3185-43a2-b187-38397d3d01b7</x:v>
      </x:c>
      <x:c r="D211" s="21" t="n">
        <x:v>1</x:v>
      </x:c>
      <x:c r="E211" s="21" t="str">
        <x:v>Effect</x:v>
      </x:c>
      <x:c r="F211" s="21" t="str">
        <x:v>Мистические воззвания</x:v>
      </x:c>
      <x:c r="G211" s="21" t="str">
        <x:v>EFF-eldritch-invocations · 39f2a896-dda5-4424-b976-bc7ceb60152b</x:v>
      </x:c>
      <x:c r="H211" s="21" t="str">
        <x:v>Особые способности колдуна. | Activation: passive | Effects: [{"count":1,"id":"warlock_invocation_l1","kind":"choice","options":{"items":[{"id":"EFF-invoc-armor_of_shadows","name":"Доспех теней","value":"EFF-invoc-armor_of_shadows"},{"id":"EFF-invoc-eldritch_mind","name":"Мистический разум","value":"EFF-invoc-eldritch_mind"},{"id":"EFF-pact-blade","name":"Клинок","value":"EFF-pact-blade"},{"id":"EFF-pact-chain","name":"Цепь","value":"EFF-pact-chain"},{"id":"EFF-pact-tome","name":"Гримуар","value":"EFF-pact-tome"}],"source":"effect"},"prompt":"Выберите 1 мистическое воззвани…</x:v>
      </x:c>
      <x:c r="I211" s="21" t="str">
        <x:v>verified_mechanical</x:v>
      </x:c>
      <x:c r="J211" s="21" t="str">
        <x:v>Passed</x:v>
      </x:c>
      <x:c r="K211" s="21" t="str"/>
      <x:c r="L21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12" ht="48" customHeight="1">
      <x:c r="A212" s="21" t="str">
        <x:v>Колдун</x:v>
      </x:c>
      <x:c r="B212" s="21" t="str">
        <x:v>CLASS-warlock</x:v>
      </x:c>
      <x:c r="C212" s="21" t="str">
        <x:v>5a0403b5-3185-43a2-b187-38397d3d01b7</x:v>
      </x:c>
      <x:c r="D212" s="21" t="n">
        <x:v>2</x:v>
      </x:c>
      <x:c r="E212" s="21" t="str">
        <x:v>Effect</x:v>
      </x:c>
      <x:c r="F212" s="21" t="str">
        <x:v>Заклинания (колдун)</x:v>
      </x:c>
      <x:c r="G212" s="21" t="str">
        <x:v>caster-warlock-spells · 44290177-d0f4-40eb-8669-0cd689097964</x:v>
      </x:c>
      <x:c r="H212"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2" s="21" t="str">
        <x:v>verified_mechanical</x:v>
      </x:c>
      <x:c r="J212" s="21" t="str">
        <x:v>Not tested</x:v>
      </x:c>
      <x:c r="K212" s="21" t="str"/>
      <x:c r="L212" s="21" t="str"/>
    </x:row>
    <x:row r="213" ht="48" customHeight="1">
      <x:c r="A213" s="21" t="str">
        <x:v>Колдун</x:v>
      </x:c>
      <x:c r="B213" s="21" t="str">
        <x:v>CLASS-warlock</x:v>
      </x:c>
      <x:c r="C213" s="21" t="str">
        <x:v>5a0403b5-3185-43a2-b187-38397d3d01b7</x:v>
      </x:c>
      <x:c r="D213" s="21" t="n">
        <x:v>3</x:v>
      </x:c>
      <x:c r="E213" s="21" t="str">
        <x:v>Effect</x:v>
      </x:c>
      <x:c r="F213" s="21" t="str">
        <x:v>Заклинания (колдун)</x:v>
      </x:c>
      <x:c r="G213" s="21" t="str">
        <x:v>caster-warlock-spells · 44290177-d0f4-40eb-8669-0cd689097964</x:v>
      </x:c>
      <x:c r="H213"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3" s="21" t="str">
        <x:v>verified_mechanical</x:v>
      </x:c>
      <x:c r="J213" s="21" t="str">
        <x:v>Not tested</x:v>
      </x:c>
      <x:c r="K213" s="21" t="str"/>
      <x:c r="L213" s="21" t="str"/>
    </x:row>
    <x:row r="214" ht="48" customHeight="1">
      <x:c r="A214" s="21" t="str">
        <x:v>Колдун</x:v>
      </x:c>
      <x:c r="B214" s="21" t="str">
        <x:v>CLASS-warlock</x:v>
      </x:c>
      <x:c r="C214" s="21" t="str">
        <x:v>5a0403b5-3185-43a2-b187-38397d3d01b7</x:v>
      </x:c>
      <x:c r="D214" s="21" t="n">
        <x:v>4</x:v>
      </x:c>
      <x:c r="E214" s="21" t="str">
        <x:v>Effect</x:v>
      </x:c>
      <x:c r="F214" s="21" t="str">
        <x:v>Получение черты</x:v>
      </x:c>
      <x:c r="G214" s="21" t="str">
        <x:v>pf_1 · 5dbd9afb-b125-4038-9d51-54819757c777</x:v>
      </x:c>
      <x:c r="H214"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214" s="21" t="str">
        <x:v>verified_mechanical</x:v>
      </x:c>
      <x:c r="J214" s="21" t="str">
        <x:v>Not tested</x:v>
      </x:c>
      <x:c r="K214" s="21" t="str"/>
      <x:c r="L214" s="21" t="str"/>
    </x:row>
    <x:row r="215" ht="48" customHeight="1">
      <x:c r="A215" s="21" t="str">
        <x:v>Колдун</x:v>
      </x:c>
      <x:c r="B215" s="21" t="str">
        <x:v>CLASS-warlock</x:v>
      </x:c>
      <x:c r="C215" s="21" t="str">
        <x:v>5a0403b5-3185-43a2-b187-38397d3d01b7</x:v>
      </x:c>
      <x:c r="D215" s="21" t="n">
        <x:v>4</x:v>
      </x:c>
      <x:c r="E215" s="21" t="str">
        <x:v>Effect</x:v>
      </x:c>
      <x:c r="F215" s="21" t="str">
        <x:v>Заклинания (колдун)</x:v>
      </x:c>
      <x:c r="G215" s="21" t="str">
        <x:v>caster-warlock-spells · 44290177-d0f4-40eb-8669-0cd689097964</x:v>
      </x:c>
      <x:c r="H215"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5" s="21" t="str">
        <x:v>verified_mechanical</x:v>
      </x:c>
      <x:c r="J215" s="21" t="str">
        <x:v>Not tested</x:v>
      </x:c>
      <x:c r="K215" s="21" t="str"/>
      <x:c r="L215" s="21" t="str"/>
    </x:row>
    <x:row r="216" ht="48" customHeight="1">
      <x:c r="A216" s="21" t="str">
        <x:v>Колдун</x:v>
      </x:c>
      <x:c r="B216" s="21" t="str">
        <x:v>CLASS-warlock</x:v>
      </x:c>
      <x:c r="C216" s="21" t="str">
        <x:v>5a0403b5-3185-43a2-b187-38397d3d01b7</x:v>
      </x:c>
      <x:c r="D216" s="21" t="n">
        <x:v>4</x:v>
      </x:c>
      <x:c r="E216" s="21" t="str">
        <x:v>Effect</x:v>
      </x:c>
      <x:c r="F216" s="21" t="str">
        <x:v>Заговоры (колдун)</x:v>
      </x:c>
      <x:c r="G216" s="21" t="str">
        <x:v>caster-warlock-cantrips · 8150ea05-daaa-429d-a0ce-2782edf1286e</x:v>
      </x:c>
      <x:c r="H216" s="21" t="str">
        <x:v>Дополнительные заговоры колдуна. Повторяемый: по одному на прикрепление. | Activation: passive | Effects: [{"resolution":"auto","result":[{"count":1,"grant":{"kind":"grant_spell","label":"cantrip"},"id":"warlock_cantrip_growth","kind":"choice","options":{"filter":{"classes":["колдун"],"levels":[0]},"source":"spell"},"prompt":"Выберите заговор","resolution":"on_acquire"}]}]</x:v>
      </x:c>
      <x:c r="I216" s="21" t="str">
        <x:v>verified_mechanical</x:v>
      </x:c>
      <x:c r="J216" s="21" t="str">
        <x:v>Not tested</x:v>
      </x:c>
      <x:c r="K216" s="21" t="str"/>
      <x:c r="L216" s="21" t="str"/>
    </x:row>
    <x:row r="217" ht="48" customHeight="1">
      <x:c r="A217" s="21" t="str">
        <x:v>Колдун</x:v>
      </x:c>
      <x:c r="B217" s="21" t="str">
        <x:v>CLASS-warlock</x:v>
      </x:c>
      <x:c r="C217" s="21" t="str">
        <x:v>5a0403b5-3185-43a2-b187-38397d3d01b7</x:v>
      </x:c>
      <x:c r="D217" s="21" t="n">
        <x:v>5</x:v>
      </x:c>
      <x:c r="E217" s="21" t="str">
        <x:v>Effect</x:v>
      </x:c>
      <x:c r="F217" s="21" t="str">
        <x:v>Заклинания (колдун)</x:v>
      </x:c>
      <x:c r="G217" s="21" t="str">
        <x:v>caster-warlock-spells · 44290177-d0f4-40eb-8669-0cd689097964</x:v>
      </x:c>
      <x:c r="H217"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7" s="21" t="str">
        <x:v>verified_mechanical</x:v>
      </x:c>
      <x:c r="J217" s="21" t="str">
        <x:v>Not tested</x:v>
      </x:c>
      <x:c r="K217" s="21" t="str"/>
      <x:c r="L217" s="21" t="str"/>
    </x:row>
    <x:row r="218" ht="48" customHeight="1">
      <x:c r="A218" s="21" t="str">
        <x:v>Колдун</x:v>
      </x:c>
      <x:c r="B218" s="21" t="str">
        <x:v>CLASS-warlock</x:v>
      </x:c>
      <x:c r="C218" s="21" t="str">
        <x:v>5a0403b5-3185-43a2-b187-38397d3d01b7</x:v>
      </x:c>
      <x:c r="D218" s="21" t="n">
        <x:v>6</x:v>
      </x:c>
      <x:c r="E218" s="21" t="str">
        <x:v>Effect</x:v>
      </x:c>
      <x:c r="F218" s="21" t="str">
        <x:v>Заклинания (колдун)</x:v>
      </x:c>
      <x:c r="G218" s="21" t="str">
        <x:v>caster-warlock-spells · 44290177-d0f4-40eb-8669-0cd689097964</x:v>
      </x:c>
      <x:c r="H218"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8" s="21" t="str">
        <x:v>verified_mechanical</x:v>
      </x:c>
      <x:c r="J218" s="21" t="str">
        <x:v>Not tested</x:v>
      </x:c>
      <x:c r="K218" s="21" t="str"/>
      <x:c r="L218" s="21" t="str"/>
    </x:row>
    <x:row r="219" ht="48" customHeight="1">
      <x:c r="A219" s="21" t="str">
        <x:v>Колдун</x:v>
      </x:c>
      <x:c r="B219" s="21" t="str">
        <x:v>CLASS-warlock</x:v>
      </x:c>
      <x:c r="C219" s="21" t="str">
        <x:v>5a0403b5-3185-43a2-b187-38397d3d01b7</x:v>
      </x:c>
      <x:c r="D219" s="21" t="n">
        <x:v>7</x:v>
      </x:c>
      <x:c r="E219" s="21" t="str">
        <x:v>Effect</x:v>
      </x:c>
      <x:c r="F219" s="21" t="str">
        <x:v>Заклинания (колдун)</x:v>
      </x:c>
      <x:c r="G219" s="21" t="str">
        <x:v>caster-warlock-spells · 44290177-d0f4-40eb-8669-0cd689097964</x:v>
      </x:c>
      <x:c r="H219"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19" s="21" t="str">
        <x:v>verified_mechanical</x:v>
      </x:c>
      <x:c r="J219" s="21" t="str">
        <x:v>Not tested</x:v>
      </x:c>
      <x:c r="K219" s="21" t="str"/>
      <x:c r="L219" s="21" t="str"/>
    </x:row>
    <x:row r="220" ht="48" customHeight="1">
      <x:c r="A220" s="21" t="str">
        <x:v>Колдун</x:v>
      </x:c>
      <x:c r="B220" s="21" t="str">
        <x:v>CLASS-warlock</x:v>
      </x:c>
      <x:c r="C220" s="21" t="str">
        <x:v>5a0403b5-3185-43a2-b187-38397d3d01b7</x:v>
      </x:c>
      <x:c r="D220" s="21" t="n">
        <x:v>8</x:v>
      </x:c>
      <x:c r="E220" s="21" t="str">
        <x:v>Effect</x:v>
      </x:c>
      <x:c r="F220" s="21" t="str">
        <x:v>Получение черты · слот 2</x:v>
      </x:c>
      <x:c r="G220" s="21" t="str">
        <x:v>pf_2 · 55689cd6-f67f-4368-8a96-53bc134fd78b</x:v>
      </x:c>
      <x:c r="H220" s="21" t="str">
        <x:v>Получение черты · слот 2 | Activation: passive | Effects: [{"grant":{"kind":"grant_feat"},"id":"gain_feat","kind":"choice","options":{"categories":["origin","general"],"source":"feat"},"prompt":"Получение черты"}]</x:v>
      </x:c>
      <x:c r="I220" s="21" t="str">
        <x:v>verified_mechanical</x:v>
      </x:c>
      <x:c r="J220" s="21" t="str">
        <x:v>Not tested</x:v>
      </x:c>
      <x:c r="K220" s="21" t="str"/>
      <x:c r="L220" s="21" t="str"/>
    </x:row>
    <x:row r="221" ht="48" customHeight="1">
      <x:c r="A221" s="21" t="str">
        <x:v>Колдун</x:v>
      </x:c>
      <x:c r="B221" s="21" t="str">
        <x:v>CLASS-warlock</x:v>
      </x:c>
      <x:c r="C221" s="21" t="str">
        <x:v>5a0403b5-3185-43a2-b187-38397d3d01b7</x:v>
      </x:c>
      <x:c r="D221" s="21" t="n">
        <x:v>8</x:v>
      </x:c>
      <x:c r="E221" s="21" t="str">
        <x:v>Effect</x:v>
      </x:c>
      <x:c r="F221" s="21" t="str">
        <x:v>Заклинания (колдун)</x:v>
      </x:c>
      <x:c r="G221" s="21" t="str">
        <x:v>caster-warlock-spells · 44290177-d0f4-40eb-8669-0cd689097964</x:v>
      </x:c>
      <x:c r="H221"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1" s="21" t="str">
        <x:v>verified_mechanical</x:v>
      </x:c>
      <x:c r="J221" s="21" t="str">
        <x:v>Not tested</x:v>
      </x:c>
      <x:c r="K221" s="21" t="str"/>
      <x:c r="L221" s="21" t="str"/>
    </x:row>
    <x:row r="222" ht="48" customHeight="1">
      <x:c r="A222" s="21" t="str">
        <x:v>Колдун</x:v>
      </x:c>
      <x:c r="B222" s="21" t="str">
        <x:v>CLASS-warlock</x:v>
      </x:c>
      <x:c r="C222" s="21" t="str">
        <x:v>5a0403b5-3185-43a2-b187-38397d3d01b7</x:v>
      </x:c>
      <x:c r="D222" s="21" t="n">
        <x:v>9</x:v>
      </x:c>
      <x:c r="E222" s="21" t="str">
        <x:v>Effect</x:v>
      </x:c>
      <x:c r="F222" s="21" t="str">
        <x:v>Заклинания (колдун)</x:v>
      </x:c>
      <x:c r="G222" s="21" t="str">
        <x:v>caster-warlock-spells · 44290177-d0f4-40eb-8669-0cd689097964</x:v>
      </x:c>
      <x:c r="H222"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2" s="21" t="str">
        <x:v>verified_mechanical</x:v>
      </x:c>
      <x:c r="J222" s="21" t="str">
        <x:v>Not tested</x:v>
      </x:c>
      <x:c r="K222" s="21" t="str"/>
      <x:c r="L222" s="21" t="str"/>
    </x:row>
    <x:row r="223" ht="48" customHeight="1">
      <x:c r="A223" s="21" t="str">
        <x:v>Колдун</x:v>
      </x:c>
      <x:c r="B223" s="21" t="str">
        <x:v>CLASS-warlock</x:v>
      </x:c>
      <x:c r="C223" s="21" t="str">
        <x:v>5a0403b5-3185-43a2-b187-38397d3d01b7</x:v>
      </x:c>
      <x:c r="D223" s="21" t="n">
        <x:v>10</x:v>
      </x:c>
      <x:c r="E223" s="21" t="str">
        <x:v>Effect</x:v>
      </x:c>
      <x:c r="F223" s="21" t="str">
        <x:v>Заклинания (колдун)</x:v>
      </x:c>
      <x:c r="G223" s="21" t="str">
        <x:v>caster-warlock-spells · 44290177-d0f4-40eb-8669-0cd689097964</x:v>
      </x:c>
      <x:c r="H223"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3" s="21" t="str">
        <x:v>verified_mechanical</x:v>
      </x:c>
      <x:c r="J223" s="21" t="str">
        <x:v>Not tested</x:v>
      </x:c>
      <x:c r="K223" s="21" t="str"/>
      <x:c r="L223" s="21" t="str"/>
    </x:row>
    <x:row r="224" ht="48" customHeight="1">
      <x:c r="A224" s="21" t="str">
        <x:v>Колдун</x:v>
      </x:c>
      <x:c r="B224" s="21" t="str">
        <x:v>CLASS-warlock</x:v>
      </x:c>
      <x:c r="C224" s="21" t="str">
        <x:v>5a0403b5-3185-43a2-b187-38397d3d01b7</x:v>
      </x:c>
      <x:c r="D224" s="21" t="n">
        <x:v>10</x:v>
      </x:c>
      <x:c r="E224" s="21" t="str">
        <x:v>Effect</x:v>
      </x:c>
      <x:c r="F224" s="21" t="str">
        <x:v>Заговоры (колдун)</x:v>
      </x:c>
      <x:c r="G224" s="21" t="str">
        <x:v>caster-warlock-cantrips · 8150ea05-daaa-429d-a0ce-2782edf1286e</x:v>
      </x:c>
      <x:c r="H224" s="21" t="str">
        <x:v>Дополнительные заговоры колдуна. Повторяемый: по одному на прикрепление. | Activation: passive | Effects: [{"resolution":"auto","result":[{"count":1,"grant":{"kind":"grant_spell","label":"cantrip"},"id":"warlock_cantrip_growth","kind":"choice","options":{"filter":{"classes":["колдун"],"levels":[0]},"source":"spell"},"prompt":"Выберите заговор","resolution":"on_acquire"}]}]</x:v>
      </x:c>
      <x:c r="I224" s="21" t="str">
        <x:v>verified_mechanical</x:v>
      </x:c>
      <x:c r="J224" s="21" t="str">
        <x:v>Not tested</x:v>
      </x:c>
      <x:c r="K224" s="21" t="str"/>
      <x:c r="L224" s="21" t="str"/>
    </x:row>
    <x:row r="225" ht="48" customHeight="1">
      <x:c r="A225" s="21" t="str">
        <x:v>Колдун</x:v>
      </x:c>
      <x:c r="B225" s="21" t="str">
        <x:v>CLASS-warlock</x:v>
      </x:c>
      <x:c r="C225" s="21" t="str">
        <x:v>5a0403b5-3185-43a2-b187-38397d3d01b7</x:v>
      </x:c>
      <x:c r="D225" s="21" t="n">
        <x:v>11</x:v>
      </x:c>
      <x:c r="E225" s="21" t="str">
        <x:v>Effect</x:v>
      </x:c>
      <x:c r="F225" s="21" t="str">
        <x:v>Заклинания (колдун)</x:v>
      </x:c>
      <x:c r="G225" s="21" t="str">
        <x:v>caster-warlock-spells · 44290177-d0f4-40eb-8669-0cd689097964</x:v>
      </x:c>
      <x:c r="H225"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5" s="21" t="str">
        <x:v>verified_mechanical</x:v>
      </x:c>
      <x:c r="J225" s="21" t="str">
        <x:v>Not tested</x:v>
      </x:c>
      <x:c r="K225" s="21" t="str"/>
      <x:c r="L225" s="21" t="str"/>
    </x:row>
    <x:row r="226" ht="48" customHeight="1">
      <x:c r="A226" s="21" t="str">
        <x:v>Колдун</x:v>
      </x:c>
      <x:c r="B226" s="21" t="str">
        <x:v>CLASS-warlock</x:v>
      </x:c>
      <x:c r="C226" s="21" t="str">
        <x:v>5a0403b5-3185-43a2-b187-38397d3d01b7</x:v>
      </x:c>
      <x:c r="D226" s="21" t="n">
        <x:v>12</x:v>
      </x:c>
      <x:c r="E226" s="21" t="str">
        <x:v>Effect</x:v>
      </x:c>
      <x:c r="F226" s="21" t="str">
        <x:v>Получение черты · слот 3</x:v>
      </x:c>
      <x:c r="G226" s="21" t="str">
        <x:v>pf_3 · 6ec4b5ab-4abc-47af-b45a-560ca2a1bb07</x:v>
      </x:c>
      <x:c r="H226" s="21" t="str">
        <x:v>Получение черты · слот 3 | Activation: passive | Effects: [{"grant":{"kind":"grant_feat"},"id":"gain_feat","kind":"choice","options":{"categories":["origin","general"],"source":"feat"},"prompt":"Получение черты"}]</x:v>
      </x:c>
      <x:c r="I226" s="21" t="str">
        <x:v>verified_mechanical</x:v>
      </x:c>
      <x:c r="J226" s="21" t="str">
        <x:v>Not tested</x:v>
      </x:c>
      <x:c r="K226" s="21" t="str"/>
      <x:c r="L226" s="21" t="str"/>
    </x:row>
    <x:row r="227" ht="48" customHeight="1">
      <x:c r="A227" s="21" t="str">
        <x:v>Колдун</x:v>
      </x:c>
      <x:c r="B227" s="21" t="str">
        <x:v>CLASS-warlock</x:v>
      </x:c>
      <x:c r="C227" s="21" t="str">
        <x:v>5a0403b5-3185-43a2-b187-38397d3d01b7</x:v>
      </x:c>
      <x:c r="D227" s="21" t="n">
        <x:v>12</x:v>
      </x:c>
      <x:c r="E227" s="21" t="str">
        <x:v>Effect</x:v>
      </x:c>
      <x:c r="F227" s="21" t="str">
        <x:v>Заклинания (колдун)</x:v>
      </x:c>
      <x:c r="G227" s="21" t="str">
        <x:v>caster-warlock-spells · 44290177-d0f4-40eb-8669-0cd689097964</x:v>
      </x:c>
      <x:c r="H227"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7" s="21" t="str">
        <x:v>verified_mechanical</x:v>
      </x:c>
      <x:c r="J227" s="21" t="str">
        <x:v>Not tested</x:v>
      </x:c>
      <x:c r="K227" s="21" t="str"/>
      <x:c r="L227" s="21" t="str"/>
    </x:row>
    <x:row r="228" ht="48" customHeight="1">
      <x:c r="A228" s="21" t="str">
        <x:v>Колдун</x:v>
      </x:c>
      <x:c r="B228" s="21" t="str">
        <x:v>CLASS-warlock</x:v>
      </x:c>
      <x:c r="C228" s="21" t="str">
        <x:v>5a0403b5-3185-43a2-b187-38397d3d01b7</x:v>
      </x:c>
      <x:c r="D228" s="21" t="n">
        <x:v>13</x:v>
      </x:c>
      <x:c r="E228" s="21" t="str">
        <x:v>Effect</x:v>
      </x:c>
      <x:c r="F228" s="21" t="str">
        <x:v>Заклинания (колдун)</x:v>
      </x:c>
      <x:c r="G228" s="21" t="str">
        <x:v>caster-warlock-spells · 44290177-d0f4-40eb-8669-0cd689097964</x:v>
      </x:c>
      <x:c r="H228"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8" s="21" t="str">
        <x:v>verified_mechanical</x:v>
      </x:c>
      <x:c r="J228" s="21" t="str">
        <x:v>Not tested</x:v>
      </x:c>
      <x:c r="K228" s="21" t="str"/>
      <x:c r="L228" s="21" t="str"/>
    </x:row>
    <x:row r="229" ht="48" customHeight="1">
      <x:c r="A229" s="21" t="str">
        <x:v>Колдун</x:v>
      </x:c>
      <x:c r="B229" s="21" t="str">
        <x:v>CLASS-warlock</x:v>
      </x:c>
      <x:c r="C229" s="21" t="str">
        <x:v>5a0403b5-3185-43a2-b187-38397d3d01b7</x:v>
      </x:c>
      <x:c r="D229" s="21" t="n">
        <x:v>14</x:v>
      </x:c>
      <x:c r="E229" s="21" t="str">
        <x:v>Effect</x:v>
      </x:c>
      <x:c r="F229" s="21" t="str">
        <x:v>Заклинания (колдун)</x:v>
      </x:c>
      <x:c r="G229" s="21" t="str">
        <x:v>caster-warlock-spells · 44290177-d0f4-40eb-8669-0cd689097964</x:v>
      </x:c>
      <x:c r="H229"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29" s="21" t="str">
        <x:v>verified_mechanical</x:v>
      </x:c>
      <x:c r="J229" s="21" t="str">
        <x:v>Not tested</x:v>
      </x:c>
      <x:c r="K229" s="21" t="str"/>
      <x:c r="L229" s="21" t="str"/>
    </x:row>
    <x:row r="230" ht="48" customHeight="1">
      <x:c r="A230" s="21" t="str">
        <x:v>Колдун</x:v>
      </x:c>
      <x:c r="B230" s="21" t="str">
        <x:v>CLASS-warlock</x:v>
      </x:c>
      <x:c r="C230" s="21" t="str">
        <x:v>5a0403b5-3185-43a2-b187-38397d3d01b7</x:v>
      </x:c>
      <x:c r="D230" s="21" t="n">
        <x:v>15</x:v>
      </x:c>
      <x:c r="E230" s="21" t="str">
        <x:v>Effect</x:v>
      </x:c>
      <x:c r="F230" s="21" t="str">
        <x:v>Заклинания (колдун)</x:v>
      </x:c>
      <x:c r="G230" s="21" t="str">
        <x:v>caster-warlock-spells · 44290177-d0f4-40eb-8669-0cd689097964</x:v>
      </x:c>
      <x:c r="H230"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0" s="21" t="str">
        <x:v>verified_mechanical</x:v>
      </x:c>
      <x:c r="J230" s="21" t="str">
        <x:v>Not tested</x:v>
      </x:c>
      <x:c r="K230" s="21" t="str"/>
      <x:c r="L230" s="21" t="str"/>
    </x:row>
    <x:row r="231" ht="48" customHeight="1">
      <x:c r="A231" s="21" t="str">
        <x:v>Колдун</x:v>
      </x:c>
      <x:c r="B231" s="21" t="str">
        <x:v>CLASS-warlock</x:v>
      </x:c>
      <x:c r="C231" s="21" t="str">
        <x:v>5a0403b5-3185-43a2-b187-38397d3d01b7</x:v>
      </x:c>
      <x:c r="D231" s="21" t="n">
        <x:v>16</x:v>
      </x:c>
      <x:c r="E231" s="21" t="str">
        <x:v>Effect</x:v>
      </x:c>
      <x:c r="F231" s="21" t="str">
        <x:v>Получение черты · слот 4</x:v>
      </x:c>
      <x:c r="G231" s="21" t="str">
        <x:v>pf_4 · f3a0400f-579f-4a68-8105-cfad1d862357</x:v>
      </x:c>
      <x:c r="H231" s="21" t="str">
        <x:v>Получение черты · слот 4 | Activation: passive | Effects: [{"grant":{"kind":"grant_feat"},"id":"gain_feat","kind":"choice","options":{"categories":["origin","general"],"source":"feat"},"prompt":"Получение черты"}]</x:v>
      </x:c>
      <x:c r="I231" s="21" t="str">
        <x:v>verified_mechanical</x:v>
      </x:c>
      <x:c r="J231" s="21" t="str">
        <x:v>Not tested</x:v>
      </x:c>
      <x:c r="K231" s="21" t="str"/>
      <x:c r="L231" s="21" t="str"/>
    </x:row>
    <x:row r="232" ht="48" customHeight="1">
      <x:c r="A232" s="21" t="str">
        <x:v>Колдун</x:v>
      </x:c>
      <x:c r="B232" s="21" t="str">
        <x:v>CLASS-warlock</x:v>
      </x:c>
      <x:c r="C232" s="21" t="str">
        <x:v>5a0403b5-3185-43a2-b187-38397d3d01b7</x:v>
      </x:c>
      <x:c r="D232" s="21" t="n">
        <x:v>16</x:v>
      </x:c>
      <x:c r="E232" s="21" t="str">
        <x:v>Effect</x:v>
      </x:c>
      <x:c r="F232" s="21" t="str">
        <x:v>Заклинания (колдун)</x:v>
      </x:c>
      <x:c r="G232" s="21" t="str">
        <x:v>caster-warlock-spells · 44290177-d0f4-40eb-8669-0cd689097964</x:v>
      </x:c>
      <x:c r="H232"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2" s="21" t="str">
        <x:v>verified_mechanical</x:v>
      </x:c>
      <x:c r="J232" s="21" t="str">
        <x:v>Not tested</x:v>
      </x:c>
      <x:c r="K232" s="21" t="str"/>
      <x:c r="L232" s="21" t="str"/>
    </x:row>
    <x:row r="233" ht="48" customHeight="1">
      <x:c r="A233" s="21" t="str">
        <x:v>Колдун</x:v>
      </x:c>
      <x:c r="B233" s="21" t="str">
        <x:v>CLASS-warlock</x:v>
      </x:c>
      <x:c r="C233" s="21" t="str">
        <x:v>5a0403b5-3185-43a2-b187-38397d3d01b7</x:v>
      </x:c>
      <x:c r="D233" s="21" t="n">
        <x:v>17</x:v>
      </x:c>
      <x:c r="E233" s="21" t="str">
        <x:v>Effect</x:v>
      </x:c>
      <x:c r="F233" s="21" t="str">
        <x:v>Заклинания (колдун)</x:v>
      </x:c>
      <x:c r="G233" s="21" t="str">
        <x:v>caster-warlock-spells · 44290177-d0f4-40eb-8669-0cd689097964</x:v>
      </x:c>
      <x:c r="H233"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3" s="21" t="str">
        <x:v>verified_mechanical</x:v>
      </x:c>
      <x:c r="J233" s="21" t="str">
        <x:v>Not tested</x:v>
      </x:c>
      <x:c r="K233" s="21" t="str"/>
      <x:c r="L233" s="21" t="str"/>
    </x:row>
    <x:row r="234" ht="48" customHeight="1">
      <x:c r="A234" s="21" t="str">
        <x:v>Колдун</x:v>
      </x:c>
      <x:c r="B234" s="21" t="str">
        <x:v>CLASS-warlock</x:v>
      </x:c>
      <x:c r="C234" s="21" t="str">
        <x:v>5a0403b5-3185-43a2-b187-38397d3d01b7</x:v>
      </x:c>
      <x:c r="D234" s="21" t="n">
        <x:v>18</x:v>
      </x:c>
      <x:c r="E234" s="21" t="str">
        <x:v>Effect</x:v>
      </x:c>
      <x:c r="F234" s="21" t="str">
        <x:v>Заклинания (колдун)</x:v>
      </x:c>
      <x:c r="G234" s="21" t="str">
        <x:v>caster-warlock-spells · 44290177-d0f4-40eb-8669-0cd689097964</x:v>
      </x:c>
      <x:c r="H234"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4" s="21" t="str">
        <x:v>verified_mechanical</x:v>
      </x:c>
      <x:c r="J234" s="21" t="str">
        <x:v>Not tested</x:v>
      </x:c>
      <x:c r="K234" s="21" t="str"/>
      <x:c r="L234" s="21" t="str"/>
    </x:row>
    <x:row r="235" ht="48" customHeight="1">
      <x:c r="A235" s="21" t="str">
        <x:v>Колдун</x:v>
      </x:c>
      <x:c r="B235" s="21" t="str">
        <x:v>CLASS-warlock</x:v>
      </x:c>
      <x:c r="C235" s="21" t="str">
        <x:v>5a0403b5-3185-43a2-b187-38397d3d01b7</x:v>
      </x:c>
      <x:c r="D235" s="21" t="n">
        <x:v>19</x:v>
      </x:c>
      <x:c r="E235" s="21" t="str">
        <x:v>Effect</x:v>
      </x:c>
      <x:c r="F235" s="21" t="str">
        <x:v>Получение черты · слот 5</x:v>
      </x:c>
      <x:c r="G235" s="21" t="str">
        <x:v>pf_5 · f5694b06-f2f8-40a7-8521-cc6bfe1e93c6</x:v>
      </x:c>
      <x:c r="H235" s="21" t="str">
        <x:v>Получение черты · слот 5 | Activation: passive | Effects: [{"grant":{"kind":"grant_feat"},"id":"gain_feat","kind":"choice","options":{"categories":["origin","general"],"source":"feat"},"prompt":"Получение черты"}]</x:v>
      </x:c>
      <x:c r="I235" s="21" t="str">
        <x:v>verified_mechanical</x:v>
      </x:c>
      <x:c r="J235" s="21" t="str">
        <x:v>Not tested</x:v>
      </x:c>
      <x:c r="K235" s="21" t="str"/>
      <x:c r="L235" s="21" t="str"/>
    </x:row>
    <x:row r="236" ht="48" customHeight="1">
      <x:c r="A236" s="21" t="str">
        <x:v>Колдун</x:v>
      </x:c>
      <x:c r="B236" s="21" t="str">
        <x:v>CLASS-warlock</x:v>
      </x:c>
      <x:c r="C236" s="21" t="str">
        <x:v>5a0403b5-3185-43a2-b187-38397d3d01b7</x:v>
      </x:c>
      <x:c r="D236" s="21" t="n">
        <x:v>19</x:v>
      </x:c>
      <x:c r="E236" s="21" t="str">
        <x:v>Effect</x:v>
      </x:c>
      <x:c r="F236" s="21" t="str">
        <x:v>Заклинания (колдун)</x:v>
      </x:c>
      <x:c r="G236" s="21" t="str">
        <x:v>caster-warlock-spells · 44290177-d0f4-40eb-8669-0cd689097964</x:v>
      </x:c>
      <x:c r="H236"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6" s="21" t="str">
        <x:v>verified_mechanical</x:v>
      </x:c>
      <x:c r="J236" s="21" t="str">
        <x:v>Not tested</x:v>
      </x:c>
      <x:c r="K236" s="21" t="str"/>
      <x:c r="L236" s="21" t="str"/>
    </x:row>
    <x:row r="237" ht="48" customHeight="1">
      <x:c r="A237" s="21" t="str">
        <x:v>Колдун</x:v>
      </x:c>
      <x:c r="B237" s="21" t="str">
        <x:v>CLASS-warlock</x:v>
      </x:c>
      <x:c r="C237" s="21" t="str">
        <x:v>5a0403b5-3185-43a2-b187-38397d3d01b7</x:v>
      </x:c>
      <x:c r="D237" s="21" t="n">
        <x:v>20</x:v>
      </x:c>
      <x:c r="E237" s="21" t="str">
        <x:v>Effect</x:v>
      </x:c>
      <x:c r="F237" s="21" t="str">
        <x:v>Заклинания (колдун)</x:v>
      </x:c>
      <x:c r="G237" s="21" t="str">
        <x:v>caster-warlock-spells · 44290177-d0f4-40eb-8669-0cd689097964</x:v>
      </x:c>
      <x:c r="H237" s="21" t="str">
        <x:v>Выбор заклинаний колдуна на уровне (доступные круги). Повторяемый: по одному на уровень. | Activation: passive | Effects: [{"resolution":"auto","result":[{"count":1,"grant":{"kind":"grant_spell","label":"known"},"id":"warlock_spells_recurring","kind":"choice","options":{"filter":{"classes":["колдун"],"only_available_slots":true},"source":"spell"},"prompt":"Выберите заклинание","resolution":"on_acquire"}]}]</x:v>
      </x:c>
      <x:c r="I237" s="21" t="str">
        <x:v>verified_mechanical</x:v>
      </x:c>
      <x:c r="J237" s="21" t="str">
        <x:v>Not tested</x:v>
      </x:c>
      <x:c r="K237" s="21" t="str"/>
      <x:c r="L237" s="21" t="str"/>
    </x:row>
    <x:row r="238" ht="48" customHeight="1">
      <x:c r="A238" s="21" t="str">
        <x:v>Монах</x:v>
      </x:c>
      <x:c r="B238" s="21" t="str">
        <x:v>CLASS-monk</x:v>
      </x:c>
      <x:c r="C238" s="21" t="str">
        <x:v>ed17e7b6-366f-43ef-a94c-2d62dd5d7b20</x:v>
      </x:c>
      <x:c r="D238" s="21" t="n">
        <x:v>1</x:v>
      </x:c>
      <x:c r="E238" s="21" t="str">
        <x:v>Class chassis</x:v>
      </x:c>
      <x:c r="F238" s="21" t="str">
        <x:v>Монах</x:v>
      </x:c>
      <x:c r="G238" s="21" t="str">
        <x:v>ed17e7b6-366f-43ef-a94c-2d62dd5d7b20</x:v>
      </x:c>
      <x:c r="H238" s="21" t="str">
        <x:v>Hit die d8; primary ["dex","wis"]; saves ["str","dex"]; armor ; weapons ["simple","martial"]; skills {"count":2,"options":["acrobatics","athletics","history","insight","religion","stealth"]}. Мастер боевых искусств и внутренней энергии.</x:v>
      </x:c>
      <x:c r="I238" s="21" t="str">
        <x:v>verified_partial</x:v>
      </x:c>
      <x:c r="J238" s="21" t="str">
        <x:v>Passed</x:v>
      </x:c>
      <x:c r="K238" s="21" t="str">
        <x:v>91715a83-9806-4397-8a06-4e0a07c82ee7</x:v>
      </x:c>
      <x:c r="L238" s="21" t="str">
        <x:v>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v>
      </x:c>
    </x:row>
    <x:row r="239" ht="48" customHeight="1">
      <x:c r="A239" s="21" t="str">
        <x:v>Монах</x:v>
      </x:c>
      <x:c r="B239" s="21" t="str">
        <x:v>CLASS-monk</x:v>
      </x:c>
      <x:c r="C239" s="21" t="str">
        <x:v>ed17e7b6-366f-43ef-a94c-2d62dd5d7b20</x:v>
      </x:c>
      <x:c r="D239" s="21" t="n">
        <x:v>2</x:v>
      </x:c>
      <x:c r="E239" s="21" t="str">
        <x:v>Resource</x:v>
      </x:c>
      <x:c r="F239" s="21" t="str">
        <x:v>focus</x:v>
      </x:c>
      <x:c r="G239" s="21" t="str"/>
      <x:c r="H239" s="21" t="str">
        <x:v>{"count":"self_level","per":"short_rest"}</x:v>
      </x:c>
      <x:c r="I239" s="21" t="str">
        <x:v>verified_partial</x:v>
      </x:c>
      <x:c r="J239" s="21" t="str">
        <x:v>Not tested</x:v>
      </x:c>
      <x:c r="K239" s="21" t="str"/>
      <x:c r="L239" s="21" t="str">
        <x:v>Checklist inventory correction: focus first becomes available at class level 2; it is not part of the level-1 mini-MVP gate. Its Not tested status is intentionally preserved for the later-level phase.</x:v>
      </x:c>
    </x:row>
    <x:row r="240" ht="48" customHeight="1">
      <x:c r="A240" s="21" t="str">
        <x:v>Монах</x:v>
      </x:c>
      <x:c r="B240" s="21" t="str">
        <x:v>CLASS-monk</x:v>
      </x:c>
      <x:c r="C240" s="21" t="str">
        <x:v>ed17e7b6-366f-43ef-a94c-2d62dd5d7b20</x:v>
      </x:c>
      <x:c r="D240" s="21" t="n">
        <x:v>1</x:v>
      </x:c>
      <x:c r="E240" s="21" t="str">
        <x:v>Effect</x:v>
      </x:c>
      <x:c r="F240" s="21" t="str">
        <x:v>Боевые искусства</x:v>
      </x:c>
      <x:c r="G240" s="21" t="str">
        <x:v>EFF-martial-arts · cdb9f4a8-1c33-4653-88a2-3d18405a83fc</x:v>
      </x:c>
      <x:c r="H240" s="21" t="str">
        <x:v>Безоружные удары и бонусная атака. | Activation: passive | Effects: [{"resolution":"auto","result":[{"description":"Без доспеха/щита: безоружный удар d6, бонусным действием — ещё один безоружный удар.","kind":"narrative"}]}]</x:v>
      </x:c>
      <x:c r="I240" s="21" t="str">
        <x:v>verified_mechanical</x:v>
      </x:c>
      <x:c r="J240" s="21" t="str">
        <x:v>Passed</x:v>
      </x:c>
      <x:c r="K240" s="21" t="str">
        <x:v>91715a83-9806-4397-8a06-4e0a07c82ee7</x:v>
      </x:c>
      <x:c r="L240" s="21" t="str">
        <x:v>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v>
      </x:c>
    </x:row>
    <x:row r="241" ht="48" customHeight="1">
      <x:c r="A241" s="21" t="str">
        <x:v>Монах</x:v>
      </x:c>
      <x:c r="B241" s="21" t="str">
        <x:v>CLASS-monk</x:v>
      </x:c>
      <x:c r="C241" s="21" t="str">
        <x:v>ed17e7b6-366f-43ef-a94c-2d62dd5d7b20</x:v>
      </x:c>
      <x:c r="D241" s="21" t="n">
        <x:v>1</x:v>
      </x:c>
      <x:c r="E241" s="21" t="str">
        <x:v>Effect</x:v>
      </x:c>
      <x:c r="F241" s="21" t="str">
        <x:v>Защита без доспехов (монах)</x:v>
      </x:c>
      <x:c r="G241" s="21" t="str">
        <x:v>EFF-monk-unarmored · e18cf12b-63e3-4da0-b5cd-be2dc2072082</x:v>
      </x:c>
      <x:c r="H241" s="21" t="str">
        <x:v>КД монаха. | Activation: passive | Effects: [{"resolution":"auto","result":[{"description":"Без доспеха и щита: КД = 10 + модификатор Ловкости + модификатор Мудрости.","kind":"narrative"},{"formula":"10 + dex + wis","kind":"set_value","target":"ac_base"}]}]</x:v>
      </x:c>
      <x:c r="I241" s="21" t="str">
        <x:v>verified_mechanical</x:v>
      </x:c>
      <x:c r="J241" s="21" t="str">
        <x:v>Passed</x:v>
      </x:c>
      <x:c r="K241" s="21" t="str">
        <x:v>91715a83-9806-4397-8a06-4e0a07c82ee7</x:v>
      </x:c>
      <x:c r="L241" s="21" t="str">
        <x:v>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v>
      </x:c>
    </x:row>
    <x:row r="242" ht="48" customHeight="1">
      <x:c r="A242" s="21" t="str">
        <x:v>Монах</x:v>
      </x:c>
      <x:c r="B242" s="21" t="str">
        <x:v>CLASS-monk</x:v>
      </x:c>
      <x:c r="C242" s="21" t="str">
        <x:v>ed17e7b6-366f-43ef-a94c-2d62dd5d7b20</x:v>
      </x:c>
      <x:c r="D242" s="21" t="n">
        <x:v>1</x:v>
      </x:c>
      <x:c r="E242" s="21" t="str">
        <x:v>Effect</x:v>
      </x:c>
      <x:c r="F242" s="21" t="str">
        <x:v>Кость боевых искусств: d6</x:v>
      </x:c>
      <x:c r="G242" s="21" t="str">
        <x:v>VAR-martial-arts-die-1 · ee1f6a10-7383-428d-8bdd-b44b6abefceb</x:v>
      </x:c>
      <x:c r="H242" s="21" t="str">
        <x:v>Ваша переменная «Кость боевых искусств» становится d6 (с 1 уровня). | Activation: passive | Effects: [{"resolution":"auto","result":[{"id":"martial_arts_die","kind":"variable","op":"set","value":"1d6"}]}]</x:v>
      </x:c>
      <x:c r="I242" s="21" t="str">
        <x:v>verified_mechanical</x:v>
      </x:c>
      <x:c r="J242" s="21" t="str">
        <x:v>Passed</x:v>
      </x:c>
      <x:c r="K242" s="21" t="str">
        <x:v>91715a83-9806-4397-8a06-4e0a07c82ee7</x:v>
      </x:c>
      <x:c r="L242" s="21" t="str">
        <x:v>PASS — production cfc64ca17d88dc6e15717b9e454c9824ac2b055d. Sheet: level 1 has no premature Focus pool; Martial Arts exposes the unarmored damage profile and the hit/miss follow-up with clear provenance. Combat: a qualifying unarmed/monk-weapon Attack opens the bonus-action unarmed follow-up, applies the legal Strength/Dexterity profile, and spends only the displayed bonus action. Clarity: trigger, cost, attack result, and remaining resources are visible. Retained character: 91715a83-9806-4397-8a06-4e0a07c82ee7.</x:v>
      </x:c>
    </x:row>
    <x:row r="243" ht="48" customHeight="1">
      <x:c r="A243" s="21" t="str">
        <x:v>Монах</x:v>
      </x:c>
      <x:c r="B243" s="21" t="str">
        <x:v>CLASS-monk</x:v>
      </x:c>
      <x:c r="C243" s="21" t="str">
        <x:v>ed17e7b6-366f-43ef-a94c-2d62dd5d7b20</x:v>
      </x:c>
      <x:c r="D243" s="21" t="n">
        <x:v>2</x:v>
      </x:c>
      <x:c r="E243" s="21" t="str">
        <x:v>Effect</x:v>
      </x:c>
      <x:c r="F243" s="21" t="str">
        <x:v>Быстрое передвижение</x:v>
      </x:c>
      <x:c r="G243" s="21" t="str">
        <x:v>EFF-unarmored-movement · bc88dbdb-8c9d-41de-a544-ca10e2459648</x:v>
      </x:c>
      <x:c r="H243" s="21" t="str">
        <x:v>+10 фт без доспеха. | Activation: passive | Effects: [{"resolution":"auto","result":[{"description":"Скорость +10 фт, пока не носите доспех и щит.","kind":"narrative"}]}]</x:v>
      </x:c>
      <x:c r="I243" s="21" t="str">
        <x:v>verified_mechanical</x:v>
      </x:c>
      <x:c r="J243" s="21" t="str">
        <x:v>Not tested</x:v>
      </x:c>
      <x:c r="K243" s="21" t="str"/>
      <x:c r="L243" s="21" t="str"/>
    </x:row>
    <x:row r="244" ht="48" customHeight="1">
      <x:c r="A244" s="21" t="str">
        <x:v>Монах</x:v>
      </x:c>
      <x:c r="B244" s="21" t="str">
        <x:v>CLASS-monk</x:v>
      </x:c>
      <x:c r="C244" s="21" t="str">
        <x:v>ed17e7b6-366f-43ef-a94c-2d62dd5d7b20</x:v>
      </x:c>
      <x:c r="D244" s="21" t="n">
        <x:v>2</x:v>
      </x:c>
      <x:c r="E244" s="21" t="str">
        <x:v>Effect</x:v>
      </x:c>
      <x:c r="F244" s="21" t="str">
        <x:v>Необычный метаболизм</x:v>
      </x:c>
      <x:c r="G244" s="21" t="str">
        <x:v>EFF-uncanny-metabolism · 16053ee3-e9ae-4e87-bcad-265dcab7348a</x:v>
      </x:c>
      <x:c r="H244" s="21" t="str">
        <x:v>Восстановление фокуса на коротком отдыхе. | Activation: triggered | Trigger: {"event":"short_rest","timing":"during"} | Effects: [{"resolution":"auto","result":[{"description":"Раз за короткий отдых: восстановите все очки фокуса и получите временные HP = 2×уровень.","kind":"narrative"}]}]</x:v>
      </x:c>
      <x:c r="I244" s="21" t="str">
        <x:v>verified_mechanical</x:v>
      </x:c>
      <x:c r="J244" s="21" t="str">
        <x:v>Not tested</x:v>
      </x:c>
      <x:c r="K244" s="21" t="str"/>
      <x:c r="L244" s="21" t="str"/>
    </x:row>
    <x:row r="245" ht="48" customHeight="1">
      <x:c r="A245" s="21" t="str">
        <x:v>Монах</x:v>
      </x:c>
      <x:c r="B245" s="21" t="str">
        <x:v>CLASS-monk</x:v>
      </x:c>
      <x:c r="C245" s="21" t="str">
        <x:v>ed17e7b6-366f-43ef-a94c-2d62dd5d7b20</x:v>
      </x:c>
      <x:c r="D245" s="21" t="n">
        <x:v>2</x:v>
      </x:c>
      <x:c r="E245" s="21" t="str">
        <x:v>Effect</x:v>
      </x:c>
      <x:c r="F245" s="21" t="str">
        <x:v>Фокус монаха</x:v>
      </x:c>
      <x:c r="G245" s="21" t="str">
        <x:v>EFF-monk-focus · 22906b8f-6324-4964-960a-57ad1cd11423</x:v>
      </x:c>
      <x:c r="H245" s="21" t="str">
        <x:v>Очки фокуса и техники. | Activation: passive | Effects: [{"resolution":"auto","result":[{"description":"Очки фокуса = уровень монаха. Тратятся на техники (Flurry, Patient Defense, Step of the Wind).","kind":"narrative"}]}]</x:v>
      </x:c>
      <x:c r="I245" s="21" t="str">
        <x:v>verified_mechanical</x:v>
      </x:c>
      <x:c r="J245" s="21" t="str">
        <x:v>Not tested</x:v>
      </x:c>
      <x:c r="K245" s="21" t="str"/>
      <x:c r="L245" s="21" t="str"/>
    </x:row>
    <x:row r="246" ht="48" customHeight="1">
      <x:c r="A246" s="21" t="str">
        <x:v>Монах</x:v>
      </x:c>
      <x:c r="B246" s="21" t="str">
        <x:v>CLASS-monk</x:v>
      </x:c>
      <x:c r="C246" s="21" t="str">
        <x:v>ed17e7b6-366f-43ef-a94c-2d62dd5d7b20</x:v>
      </x:c>
      <x:c r="D246" s="21" t="n">
        <x:v>4</x:v>
      </x:c>
      <x:c r="E246" s="21" t="str">
        <x:v>Effect</x:v>
      </x:c>
      <x:c r="F246" s="21" t="str">
        <x:v>Получение черты</x:v>
      </x:c>
      <x:c r="G246" s="21" t="str">
        <x:v>pf_1 · 5dbd9afb-b125-4038-9d51-54819757c777</x:v>
      </x:c>
      <x:c r="H246"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246" s="21" t="str">
        <x:v>verified_mechanical</x:v>
      </x:c>
      <x:c r="J246" s="21" t="str">
        <x:v>Not tested</x:v>
      </x:c>
      <x:c r="K246" s="21" t="str"/>
      <x:c r="L246" s="21" t="str"/>
    </x:row>
    <x:row r="247" ht="48" customHeight="1">
      <x:c r="A247" s="21" t="str">
        <x:v>Монах</x:v>
      </x:c>
      <x:c r="B247" s="21" t="str">
        <x:v>CLASS-monk</x:v>
      </x:c>
      <x:c r="C247" s="21" t="str">
        <x:v>ed17e7b6-366f-43ef-a94c-2d62dd5d7b20</x:v>
      </x:c>
      <x:c r="D247" s="21" t="n">
        <x:v>5</x:v>
      </x:c>
      <x:c r="E247" s="21" t="str">
        <x:v>Effect</x:v>
      </x:c>
      <x:c r="F247" s="21" t="str">
        <x:v>Кость боевых искусств: d8</x:v>
      </x:c>
      <x:c r="G247" s="21" t="str">
        <x:v>VAR-martial-arts-die-5 · ea9cbfd5-b83b-4579-a32e-95f678c52a7f</x:v>
      </x:c>
      <x:c r="H247" s="21" t="str">
        <x:v>Ваша переменная «Кость боевых искусств» становится d8 (с 5 уровня). | Activation: passive | Effects: [{"resolution":"auto","result":[{"id":"martial_arts_die","kind":"variable","op":"set","value":"1d8"}]}]</x:v>
      </x:c>
      <x:c r="I247" s="21" t="str">
        <x:v>verified_mechanical</x:v>
      </x:c>
      <x:c r="J247" s="21" t="str">
        <x:v>Not tested</x:v>
      </x:c>
      <x:c r="K247" s="21" t="str"/>
      <x:c r="L247" s="21" t="str"/>
    </x:row>
    <x:row r="248" ht="48" customHeight="1">
      <x:c r="A248" s="21" t="str">
        <x:v>Монах</x:v>
      </x:c>
      <x:c r="B248" s="21" t="str">
        <x:v>CLASS-monk</x:v>
      </x:c>
      <x:c r="C248" s="21" t="str">
        <x:v>ed17e7b6-366f-43ef-a94c-2d62dd5d7b20</x:v>
      </x:c>
      <x:c r="D248" s="21" t="n">
        <x:v>8</x:v>
      </x:c>
      <x:c r="E248" s="21" t="str">
        <x:v>Effect</x:v>
      </x:c>
      <x:c r="F248" s="21" t="str">
        <x:v>Получение черты · слот 2</x:v>
      </x:c>
      <x:c r="G248" s="21" t="str">
        <x:v>pf_2 · 55689cd6-f67f-4368-8a96-53bc134fd78b</x:v>
      </x:c>
      <x:c r="H248" s="21" t="str">
        <x:v>Получение черты · слот 2 | Activation: passive | Effects: [{"grant":{"kind":"grant_feat"},"id":"gain_feat","kind":"choice","options":{"categories":["origin","general"],"source":"feat"},"prompt":"Получение черты"}]</x:v>
      </x:c>
      <x:c r="I248" s="21" t="str">
        <x:v>verified_mechanical</x:v>
      </x:c>
      <x:c r="J248" s="21" t="str">
        <x:v>Not tested</x:v>
      </x:c>
      <x:c r="K248" s="21" t="str"/>
      <x:c r="L248" s="21" t="str"/>
    </x:row>
    <x:row r="249" ht="48" customHeight="1">
      <x:c r="A249" s="21" t="str">
        <x:v>Монах</x:v>
      </x:c>
      <x:c r="B249" s="21" t="str">
        <x:v>CLASS-monk</x:v>
      </x:c>
      <x:c r="C249" s="21" t="str">
        <x:v>ed17e7b6-366f-43ef-a94c-2d62dd5d7b20</x:v>
      </x:c>
      <x:c r="D249" s="21" t="n">
        <x:v>11</x:v>
      </x:c>
      <x:c r="E249" s="21" t="str">
        <x:v>Effect</x:v>
      </x:c>
      <x:c r="F249" s="21" t="str">
        <x:v>Кость боевых искусств: d10</x:v>
      </x:c>
      <x:c r="G249" s="21" t="str">
        <x:v>VAR-martial-arts-die-11 · e3852ad4-c417-4c4b-9310-ea9688e00066</x:v>
      </x:c>
      <x:c r="H249" s="21" t="str">
        <x:v>Ваша переменная «Кость боевых искусств» становится d10 (с 11 уровня). | Activation: passive | Effects: [{"resolution":"auto","result":[{"id":"martial_arts_die","kind":"variable","op":"set","value":"1d10"}]}]</x:v>
      </x:c>
      <x:c r="I249" s="21" t="str">
        <x:v>verified_mechanical</x:v>
      </x:c>
      <x:c r="J249" s="21" t="str">
        <x:v>Not tested</x:v>
      </x:c>
      <x:c r="K249" s="21" t="str"/>
      <x:c r="L249" s="21" t="str"/>
    </x:row>
    <x:row r="250" ht="48" customHeight="1">
      <x:c r="A250" s="21" t="str">
        <x:v>Монах</x:v>
      </x:c>
      <x:c r="B250" s="21" t="str">
        <x:v>CLASS-monk</x:v>
      </x:c>
      <x:c r="C250" s="21" t="str">
        <x:v>ed17e7b6-366f-43ef-a94c-2d62dd5d7b20</x:v>
      </x:c>
      <x:c r="D250" s="21" t="n">
        <x:v>12</x:v>
      </x:c>
      <x:c r="E250" s="21" t="str">
        <x:v>Effect</x:v>
      </x:c>
      <x:c r="F250" s="21" t="str">
        <x:v>Получение черты · слот 3</x:v>
      </x:c>
      <x:c r="G250" s="21" t="str">
        <x:v>pf_3 · 6ec4b5ab-4abc-47af-b45a-560ca2a1bb07</x:v>
      </x:c>
      <x:c r="H250" s="21" t="str">
        <x:v>Получение черты · слот 3 | Activation: passive | Effects: [{"grant":{"kind":"grant_feat"},"id":"gain_feat","kind":"choice","options":{"categories":["origin","general"],"source":"feat"},"prompt":"Получение черты"}]</x:v>
      </x:c>
      <x:c r="I250" s="21" t="str">
        <x:v>verified_mechanical</x:v>
      </x:c>
      <x:c r="J250" s="21" t="str">
        <x:v>Not tested</x:v>
      </x:c>
      <x:c r="K250" s="21" t="str"/>
      <x:c r="L250" s="21" t="str"/>
    </x:row>
    <x:row r="251" ht="48" customHeight="1">
      <x:c r="A251" s="21" t="str">
        <x:v>Монах</x:v>
      </x:c>
      <x:c r="B251" s="21" t="str">
        <x:v>CLASS-monk</x:v>
      </x:c>
      <x:c r="C251" s="21" t="str">
        <x:v>ed17e7b6-366f-43ef-a94c-2d62dd5d7b20</x:v>
      </x:c>
      <x:c r="D251" s="21" t="n">
        <x:v>16</x:v>
      </x:c>
      <x:c r="E251" s="21" t="str">
        <x:v>Effect</x:v>
      </x:c>
      <x:c r="F251" s="21" t="str">
        <x:v>Получение черты · слот 4</x:v>
      </x:c>
      <x:c r="G251" s="21" t="str">
        <x:v>pf_4 · f3a0400f-579f-4a68-8105-cfad1d862357</x:v>
      </x:c>
      <x:c r="H251" s="21" t="str">
        <x:v>Получение черты · слот 4 | Activation: passive | Effects: [{"grant":{"kind":"grant_feat"},"id":"gain_feat","kind":"choice","options":{"categories":["origin","general"],"source":"feat"},"prompt":"Получение черты"}]</x:v>
      </x:c>
      <x:c r="I251" s="21" t="str">
        <x:v>verified_mechanical</x:v>
      </x:c>
      <x:c r="J251" s="21" t="str">
        <x:v>Not tested</x:v>
      </x:c>
      <x:c r="K251" s="21" t="str"/>
      <x:c r="L251" s="21" t="str"/>
    </x:row>
    <x:row r="252" ht="48" customHeight="1">
      <x:c r="A252" s="21" t="str">
        <x:v>Монах</x:v>
      </x:c>
      <x:c r="B252" s="21" t="str">
        <x:v>CLASS-monk</x:v>
      </x:c>
      <x:c r="C252" s="21" t="str">
        <x:v>ed17e7b6-366f-43ef-a94c-2d62dd5d7b20</x:v>
      </x:c>
      <x:c r="D252" s="21" t="n">
        <x:v>17</x:v>
      </x:c>
      <x:c r="E252" s="21" t="str">
        <x:v>Effect</x:v>
      </x:c>
      <x:c r="F252" s="21" t="str">
        <x:v>Кость боевых искусств: d12</x:v>
      </x:c>
      <x:c r="G252" s="21" t="str">
        <x:v>VAR-martial-arts-die-17 · 5e76a22b-901a-462e-8b1b-ed372cada8df</x:v>
      </x:c>
      <x:c r="H252" s="21" t="str">
        <x:v>Ваша переменная «Кость боевых искусств» становится d12 (с 17 уровня). | Activation: passive | Effects: [{"resolution":"auto","result":[{"id":"martial_arts_die","kind":"variable","op":"set","value":"1d12"}]}]</x:v>
      </x:c>
      <x:c r="I252" s="21" t="str">
        <x:v>verified_mechanical</x:v>
      </x:c>
      <x:c r="J252" s="21" t="str">
        <x:v>Not tested</x:v>
      </x:c>
      <x:c r="K252" s="21" t="str"/>
      <x:c r="L252" s="21" t="str"/>
    </x:row>
    <x:row r="253" ht="48" customHeight="1">
      <x:c r="A253" s="21" t="str">
        <x:v>Монах</x:v>
      </x:c>
      <x:c r="B253" s="21" t="str">
        <x:v>CLASS-monk</x:v>
      </x:c>
      <x:c r="C253" s="21" t="str">
        <x:v>ed17e7b6-366f-43ef-a94c-2d62dd5d7b20</x:v>
      </x:c>
      <x:c r="D253" s="21" t="n">
        <x:v>19</x:v>
      </x:c>
      <x:c r="E253" s="21" t="str">
        <x:v>Effect</x:v>
      </x:c>
      <x:c r="F253" s="21" t="str">
        <x:v>Получение черты · слот 5</x:v>
      </x:c>
      <x:c r="G253" s="21" t="str">
        <x:v>pf_5 · f5694b06-f2f8-40a7-8521-cc6bfe1e93c6</x:v>
      </x:c>
      <x:c r="H253" s="21" t="str">
        <x:v>Получение черты · слот 5 | Activation: passive | Effects: [{"grant":{"kind":"grant_feat"},"id":"gain_feat","kind":"choice","options":{"categories":["origin","general"],"source":"feat"},"prompt":"Получение черты"}]</x:v>
      </x:c>
      <x:c r="I253" s="21" t="str">
        <x:v>verified_mechanical</x:v>
      </x:c>
      <x:c r="J253" s="21" t="str">
        <x:v>Not tested</x:v>
      </x:c>
      <x:c r="K253" s="21" t="str"/>
      <x:c r="L253" s="21" t="str"/>
    </x:row>
    <x:row r="254" ht="48" customHeight="1">
      <x:c r="A254" s="21" t="str">
        <x:v>Паладин</x:v>
      </x:c>
      <x:c r="B254" s="21" t="str">
        <x:v>CLASS-paladin</x:v>
      </x:c>
      <x:c r="C254" s="21" t="str">
        <x:v>03265901-3b0a-4d3e-ab2c-001a6cab59c3</x:v>
      </x:c>
      <x:c r="D254" s="21" t="n">
        <x:v>1</x:v>
      </x:c>
      <x:c r="E254" s="21" t="str">
        <x:v>Class chassis</x:v>
      </x:c>
      <x:c r="F254" s="21" t="str">
        <x:v>Паладин</x:v>
      </x:c>
      <x:c r="G254" s="21" t="str">
        <x:v>03265901-3b0a-4d3e-ab2c-001a6cab59c3</x:v>
      </x:c>
      <x:c r="H254" s="21" t="str">
        <x:v>Hit die d10; primary ["str","cha"]; saves ["wis","cha"]; armor ["light","medium","heavy","shields"]; weapons ["simple","martial"]; skills {"count":2,"options":["athletics","insight","intimidation","medicine","persuasion","religion"]}. Святой воин, связанный клятвой.</x:v>
      </x:c>
      <x:c r="I254" s="21" t="str">
        <x:v>verified_partial</x:v>
      </x:c>
      <x:c r="J254" s="21" t="str">
        <x:v>Passed</x:v>
      </x:c>
      <x:c r="K254" s="21" t="str"/>
      <x:c r="L25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55" ht="48" customHeight="1">
      <x:c r="A255" s="21" t="str">
        <x:v>Паладин</x:v>
      </x:c>
      <x:c r="B255" s="21" t="str">
        <x:v>CLASS-paladin</x:v>
      </x:c>
      <x:c r="C255" s="21" t="str">
        <x:v>03265901-3b0a-4d3e-ab2c-001a6cab59c3</x:v>
      </x:c>
      <x:c r="D255" s="21" t="n">
        <x:v>1</x:v>
      </x:c>
      <x:c r="E255" s="21" t="str">
        <x:v>Resource</x:v>
      </x:c>
      <x:c r="F255" s="21" t="str">
        <x:v>spell_slot_1</x:v>
      </x:c>
      <x:c r="G255" s="21" t="str"/>
      <x:c r="H255" s="21" t="str">
        <x:v>{"by_level":{"1":2,"3":3,"5":4},"per":"long_rest"}</x:v>
      </x:c>
      <x:c r="I255" s="21" t="str">
        <x:v>verified_partial</x:v>
      </x:c>
      <x:c r="J255" s="21" t="str">
        <x:v>Passed</x:v>
      </x:c>
      <x:c r="K255" s="21" t="str"/>
      <x:c r="L25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56" ht="48" customHeight="1">
      <x:c r="A256" s="21" t="str">
        <x:v>Паладин</x:v>
      </x:c>
      <x:c r="B256" s="21" t="str">
        <x:v>CLASS-paladin</x:v>
      </x:c>
      <x:c r="C256" s="21" t="str">
        <x:v>03265901-3b0a-4d3e-ab2c-001a6cab59c3</x:v>
      </x:c>
      <x:c r="D256" s="21" t="n">
        <x:v>3</x:v>
      </x:c>
      <x:c r="E256" s="21" t="str">
        <x:v>Resource</x:v>
      </x:c>
      <x:c r="F256" s="21" t="str">
        <x:v>spell_slot_2</x:v>
      </x:c>
      <x:c r="G256" s="21" t="str"/>
      <x:c r="H256" s="21" t="str">
        <x:v>{"by_level":{"5":2,"7":3},"per":"long_rest"}</x:v>
      </x:c>
      <x:c r="I256" s="21" t="str">
        <x:v>verified_partial</x:v>
      </x:c>
      <x:c r="J256" s="21" t="str">
        <x:v>Not tested</x:v>
      </x:c>
      <x:c r="K256" s="21" t="str"/>
      <x:c r="L256" s="21" t="str">
        <x:v>Checklist inventory correction: spell_slot_2 first becomes available at class level 3; it is not part of the level-1 mini-MVP gate. Its Not tested status is intentionally preserved for the later-level phase.</x:v>
      </x:c>
    </x:row>
    <x:row r="257" ht="48" customHeight="1">
      <x:c r="A257" s="21" t="str">
        <x:v>Паладин</x:v>
      </x:c>
      <x:c r="B257" s="21" t="str">
        <x:v>CLASS-paladin</x:v>
      </x:c>
      <x:c r="C257" s="21" t="str">
        <x:v>03265901-3b0a-4d3e-ab2c-001a6cab59c3</x:v>
      </x:c>
      <x:c r="D257" s="21" t="n">
        <x:v>5</x:v>
      </x:c>
      <x:c r="E257" s="21" t="str">
        <x:v>Resource</x:v>
      </x:c>
      <x:c r="F257" s="21" t="str">
        <x:v>spell_slot_3</x:v>
      </x:c>
      <x:c r="G257" s="21" t="str"/>
      <x:c r="H257" s="21" t="str">
        <x:v>{"by_level":{"9":2,"11":3},"per":"long_rest"}</x:v>
      </x:c>
      <x:c r="I257" s="21" t="str">
        <x:v>verified_partial</x:v>
      </x:c>
      <x:c r="J257" s="21" t="str">
        <x:v>Not tested</x:v>
      </x:c>
      <x:c r="K257" s="21" t="str"/>
      <x:c r="L257" s="21" t="str">
        <x:v>Checklist inventory correction: spell_slot_3 first becomes available at class level 5; it is not part of the level-1 mini-MVP gate. Its Not tested status is intentionally preserved for the later-level phase.</x:v>
      </x:c>
    </x:row>
    <x:row r="258" ht="48" customHeight="1">
      <x:c r="A258" s="21" t="str">
        <x:v>Паладин</x:v>
      </x:c>
      <x:c r="B258" s="21" t="str">
        <x:v>CLASS-paladin</x:v>
      </x:c>
      <x:c r="C258" s="21" t="str">
        <x:v>03265901-3b0a-4d3e-ab2c-001a6cab59c3</x:v>
      </x:c>
      <x:c r="D258" s="21" t="n">
        <x:v>7</x:v>
      </x:c>
      <x:c r="E258" s="21" t="str">
        <x:v>Resource</x:v>
      </x:c>
      <x:c r="F258" s="21" t="str">
        <x:v>spell_slot_4</x:v>
      </x:c>
      <x:c r="G258" s="21" t="str"/>
      <x:c r="H258" s="21" t="str">
        <x:v>{"by_level":{"13":1,"15":2,"17":3},"per":"long_rest"}</x:v>
      </x:c>
      <x:c r="I258" s="21" t="str">
        <x:v>verified_partial</x:v>
      </x:c>
      <x:c r="J258" s="21" t="str">
        <x:v>Not tested</x:v>
      </x:c>
      <x:c r="K258" s="21" t="str"/>
      <x:c r="L258" s="21" t="str">
        <x:v>Checklist inventory correction: spell_slot_4 first becomes available at class level 7; it is not part of the level-1 mini-MVP gate. Its Not tested status is intentionally preserved for the later-level phase.</x:v>
      </x:c>
    </x:row>
    <x:row r="259" ht="48" customHeight="1">
      <x:c r="A259" s="21" t="str">
        <x:v>Паладин</x:v>
      </x:c>
      <x:c r="B259" s="21" t="str">
        <x:v>CLASS-paladin</x:v>
      </x:c>
      <x:c r="C259" s="21" t="str">
        <x:v>03265901-3b0a-4d3e-ab2c-001a6cab59c3</x:v>
      </x:c>
      <x:c r="D259" s="21" t="n">
        <x:v>9</x:v>
      </x:c>
      <x:c r="E259" s="21" t="str">
        <x:v>Resource</x:v>
      </x:c>
      <x:c r="F259" s="21" t="str">
        <x:v>spell_slot_5</x:v>
      </x:c>
      <x:c r="G259" s="21" t="str"/>
      <x:c r="H259" s="21" t="str">
        <x:v>{"by_level":{"17":1,"19":2},"per":"long_rest"}</x:v>
      </x:c>
      <x:c r="I259" s="21" t="str">
        <x:v>verified_partial</x:v>
      </x:c>
      <x:c r="J259" s="21" t="str">
        <x:v>Not tested</x:v>
      </x:c>
      <x:c r="K259" s="21" t="str"/>
      <x:c r="L259" s="21" t="str">
        <x:v>Checklist inventory correction: spell_slot_5 first becomes available at class level 9; it is not part of the level-1 mini-MVP gate. Its Not tested status is intentionally preserved for the later-level phase.</x:v>
      </x:c>
    </x:row>
    <x:row r="260" ht="48" customHeight="1">
      <x:c r="A260" s="21" t="str">
        <x:v>Паладин</x:v>
      </x:c>
      <x:c r="B260" s="21" t="str">
        <x:v>CLASS-paladin</x:v>
      </x:c>
      <x:c r="C260" s="21" t="str">
        <x:v>03265901-3b0a-4d3e-ab2c-001a6cab59c3</x:v>
      </x:c>
      <x:c r="D260" s="21" t="n">
        <x:v>1</x:v>
      </x:c>
      <x:c r="E260" s="21" t="str">
        <x:v>Action</x:v>
      </x:c>
      <x:c r="F260" s="21" t="str">
        <x:v>Прикосновение целителя</x:v>
      </x:c>
      <x:c r="G260" s="21" t="str">
        <x:v>ACT-lay-on-hands · 8c248007-7a31-4b46-bb28-37b1744a2a37</x:v>
      </x:c>
      <x:c r="H260" s="21" t="str">
        <x:v>Исцеление из запаса (5 HP за использование в MVP). | Activation: active; cost action | Targeting: {"shape":"self"} | Effects: [{"resolution":"auto","result":[{"amount":"5","kind":"healing"}]}]</x:v>
      </x:c>
      <x:c r="I260" s="21" t="str">
        <x:v>verified_mechanical</x:v>
      </x:c>
      <x:c r="J260" s="21" t="str">
        <x:v>Passed</x:v>
      </x:c>
      <x:c r="K260" s="21" t="str"/>
      <x:c r="L260"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61" ht="48" customHeight="1">
      <x:c r="A261" s="21" t="str">
        <x:v>Паладин</x:v>
      </x:c>
      <x:c r="B261" s="21" t="str">
        <x:v>CLASS-paladin</x:v>
      </x:c>
      <x:c r="C261" s="21" t="str">
        <x:v>03265901-3b0a-4d3e-ab2c-001a6cab59c3</x:v>
      </x:c>
      <x:c r="D261" s="21" t="n">
        <x:v>1</x:v>
      </x:c>
      <x:c r="E261" s="21" t="str">
        <x:v>Effect</x:v>
      </x:c>
      <x:c r="F261" s="21" t="str">
        <x:v>Божественное чувство</x:v>
      </x:c>
      <x:c r="G261" s="21" t="str">
        <x:v>EFF-divine-sense · 73311806-ad0f-414d-8cab-e014fa0e0d71</x:v>
      </x:c>
      <x:c r="H261" s="21" t="str">
        <x:v>Обнаружение необычных существ. | Activation: passive | Effects: [{"resolution":"auto","result":[{"description":"Действием: обнаружение исадов, небожителей и нежити в 60 фт.","kind":"narrative"}]}]</x:v>
      </x:c>
      <x:c r="I261" s="21" t="str">
        <x:v>verified_mechanical</x:v>
      </x:c>
      <x:c r="J261" s="21" t="str">
        <x:v>Passed</x:v>
      </x:c>
      <x:c r="K261" s="21" t="str"/>
      <x:c r="L26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62" ht="48" customHeight="1">
      <x:c r="A262" s="21" t="str">
        <x:v>Паладин</x:v>
      </x:c>
      <x:c r="B262" s="21" t="str">
        <x:v>CLASS-paladin</x:v>
      </x:c>
      <x:c r="C262" s="21" t="str">
        <x:v>03265901-3b0a-4d3e-ab2c-001a6cab59c3</x:v>
      </x:c>
      <x:c r="D262" s="21" t="n">
        <x:v>1</x:v>
      </x:c>
      <x:c r="E262" s="21" t="str">
        <x:v>Effect</x:v>
      </x:c>
      <x:c r="F262" s="21" t="str">
        <x:v>Использование заклинаний (паладин)</x:v>
      </x:c>
      <x:c r="G262" s="21" t="str">
        <x:v>EFF-paladin-spellcasting · ab0c1d14-d8ef-4d0d-9952-b26e2f862b5c</x:v>
      </x:c>
      <x:c r="H262" s="21" t="str">
        <x:v>Заговоры и подготовленные заклинания. | Activation: passive | Effects: [{"resolution":"auto","result":[{"ability":"cha","kind":"spellcasting_ability","role":"primary"},{"description":"Подготовка заклинаний паладина. ХАР — характеристика заклинаний.","kind":"narrative"}]},{"count":2,"grant":{"kind":"grant_spell","label":"prepared"},"id":"paladin_spells_l1","kind":"choice","options":{"filter":{"classes":["паладин"],"levels":[1]},"source":"spell"},"prompt":"Выберите 2 заклинания 1 уровня для подготовки","resolution":"on_acquire"}]</x:v>
      </x:c>
      <x:c r="I262" s="21" t="str">
        <x:v>verified_mechanical</x:v>
      </x:c>
      <x:c r="J262" s="21" t="str">
        <x:v>Passed</x:v>
      </x:c>
      <x:c r="K262" s="21" t="str"/>
      <x:c r="L262"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263" ht="48" customHeight="1">
      <x:c r="A263" s="21" t="str">
        <x:v>Паладин</x:v>
      </x:c>
      <x:c r="B263" s="21" t="str">
        <x:v>CLASS-paladin</x:v>
      </x:c>
      <x:c r="C263" s="21" t="str">
        <x:v>03265901-3b0a-4d3e-ab2c-001a6cab59c3</x:v>
      </x:c>
      <x:c r="D263" s="21" t="n">
        <x:v>1</x:v>
      </x:c>
      <x:c r="E263" s="21" t="str">
        <x:v>Effect</x:v>
      </x:c>
      <x:c r="F263" s="21" t="str">
        <x:v>Искусное владение оружием</x:v>
      </x:c>
      <x:c r="G263" s="21" t="str">
        <x:v>EFF-weapon-mastery-2 · 58167888-c7a4-4fe3-9fd3-0aabfa8aed9a</x:v>
      </x:c>
      <x:c r="H263" s="21" t="str">
        <x:v>Вы можете пользоваться свойствами искусности двух видов оружия, которым вы владеете, по вашему выбору. Благодаря тренировкам вы можете пользоваться свойствами искусности выбранных вами видов оружия. Каждый раз, когда вы заканчиваете Долгий отдых, вы можете изменить выбор — на листе персонажа в блоке выборов. | Activation: passive | Effects: [{"resolution":"auto","result":[{"context":"in_play","count":2,"grant":{"kind":"weapon_mastery"},"id":"weapon-mastery","kind":"choice","options":{"source":"weapon"},"prompt":"Искусность: выберите 2 вида оружия"}]}]</x:v>
      </x:c>
      <x:c r="I263" s="21" t="str">
        <x:v>verified_mechanical</x:v>
      </x:c>
      <x:c r="J263" s="21" t="str">
        <x:v>Passed</x:v>
      </x:c>
      <x:c r="K263" s="21" t="str"/>
      <x:c r="L263"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All eight mastery primitives passed 33 mandatory scenarios; production exposes 25 strict weapon bindings with Cleave, Graze, Nick, Push, Sap, Slow, Topple, and Vex all reachable.</x:v>
      </x:c>
    </x:row>
    <x:row r="264" ht="48" customHeight="1">
      <x:c r="A264" s="21" t="str">
        <x:v>Паладин</x:v>
      </x:c>
      <x:c r="B264" s="21" t="str">
        <x:v>CLASS-paladin</x:v>
      </x:c>
      <x:c r="C264" s="21" t="str">
        <x:v>03265901-3b0a-4d3e-ab2c-001a6cab59c3</x:v>
      </x:c>
      <x:c r="D264" s="21" t="n">
        <x:v>2</x:v>
      </x:c>
      <x:c r="E264" s="21" t="str">
        <x:v>Effect</x:v>
      </x:c>
      <x:c r="F264" s="21" t="str">
        <x:v>Боевой стиль (паладин)</x:v>
      </x:c>
      <x:c r="G264" s="21" t="str">
        <x:v>EFF-paladin-fighting-style · 92db8555-2d7c-41a3-8a62-e3f173bcec79</x:v>
      </x:c>
      <x:c r="H264" s="21" t="str">
        <x:v>Специализация владения. | Activation: passive | Effects: [{"count":1,"grant":{"kind":"grant_feat"},"id":"paladin_fighting_style","kind":"choice","options":{"filter":"fighting_style","source":"feat"},"prompt":"Выберите боевой стиль","resolution":"on_acquire"}]</x:v>
      </x:c>
      <x:c r="I264" s="21" t="str">
        <x:v>verified_mechanical</x:v>
      </x:c>
      <x:c r="J264" s="21" t="str">
        <x:v>Not tested</x:v>
      </x:c>
      <x:c r="K264" s="21" t="str"/>
      <x:c r="L264" s="21" t="str"/>
    </x:row>
    <x:row r="265" ht="48" customHeight="1">
      <x:c r="A265" s="21" t="str">
        <x:v>Паладин</x:v>
      </x:c>
      <x:c r="B265" s="21" t="str">
        <x:v>CLASS-paladin</x:v>
      </x:c>
      <x:c r="C265" s="21" t="str">
        <x:v>03265901-3b0a-4d3e-ab2c-001a6cab59c3</x:v>
      </x:c>
      <x:c r="D265" s="21" t="n">
        <x:v>2</x:v>
      </x:c>
      <x:c r="E265" s="21" t="str">
        <x:v>Effect</x:v>
      </x:c>
      <x:c r="F265" s="21" t="str">
        <x:v>Божественная кара</x:v>
      </x:c>
      <x:c r="G265" s="21" t="str">
        <x:v>EFF-paladin-smite · a6a0bffe-7ad9-43bb-b1b6-cc211bd944ff</x:v>
      </x:c>
      <x:c r="H265" s="21" t="str">
        <x:v>Дополнительный урон излучением. | Activation: passive | Effects: [{"resolution":"auto","result":[{"description":"При попадании оружием ближнего боя можно потратить ячейку для доп. урона излучением.","kind":"narrative"}]}]</x:v>
      </x:c>
      <x:c r="I265" s="21" t="str">
        <x:v>verified_mechanical</x:v>
      </x:c>
      <x:c r="J265" s="21" t="str">
        <x:v>Not tested</x:v>
      </x:c>
      <x:c r="K265" s="21" t="str"/>
      <x:c r="L265" s="21" t="str"/>
    </x:row>
    <x:row r="266" ht="48" customHeight="1">
      <x:c r="A266" s="21" t="str">
        <x:v>Паладин</x:v>
      </x:c>
      <x:c r="B266" s="21" t="str">
        <x:v>CLASS-paladin</x:v>
      </x:c>
      <x:c r="C266" s="21" t="str">
        <x:v>03265901-3b0a-4d3e-ab2c-001a6cab59c3</x:v>
      </x:c>
      <x:c r="D266" s="21" t="n">
        <x:v>2</x:v>
      </x:c>
      <x:c r="E266" s="21" t="str">
        <x:v>Effect</x:v>
      </x:c>
      <x:c r="F266" s="21" t="str">
        <x:v>Заклинания (паладин)</x:v>
      </x:c>
      <x:c r="G266" s="21" t="str">
        <x:v>caster-paladin-spells · 8923056f-52e1-430f-a937-80b72cf4f0c8</x:v>
      </x:c>
      <x:c r="H266"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66" s="21" t="str">
        <x:v>verified_mechanical</x:v>
      </x:c>
      <x:c r="J266" s="21" t="str">
        <x:v>Not tested</x:v>
      </x:c>
      <x:c r="K266" s="21" t="str"/>
      <x:c r="L266" s="21" t="str"/>
    </x:row>
    <x:row r="267" ht="48" customHeight="1">
      <x:c r="A267" s="21" t="str">
        <x:v>Паладин</x:v>
      </x:c>
      <x:c r="B267" s="21" t="str">
        <x:v>CLASS-paladin</x:v>
      </x:c>
      <x:c r="C267" s="21" t="str">
        <x:v>03265901-3b0a-4d3e-ab2c-001a6cab59c3</x:v>
      </x:c>
      <x:c r="D267" s="21" t="n">
        <x:v>3</x:v>
      </x:c>
      <x:c r="E267" s="21" t="str">
        <x:v>Effect</x:v>
      </x:c>
      <x:c r="F267" s="21" t="str">
        <x:v>Заклинания (паладин)</x:v>
      </x:c>
      <x:c r="G267" s="21" t="str">
        <x:v>caster-paladin-spells · 8923056f-52e1-430f-a937-80b72cf4f0c8</x:v>
      </x:c>
      <x:c r="H267"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67" s="21" t="str">
        <x:v>verified_mechanical</x:v>
      </x:c>
      <x:c r="J267" s="21" t="str">
        <x:v>Not tested</x:v>
      </x:c>
      <x:c r="K267" s="21" t="str"/>
      <x:c r="L267" s="21" t="str"/>
    </x:row>
    <x:row r="268" ht="48" customHeight="1">
      <x:c r="A268" s="21" t="str">
        <x:v>Паладин</x:v>
      </x:c>
      <x:c r="B268" s="21" t="str">
        <x:v>CLASS-paladin</x:v>
      </x:c>
      <x:c r="C268" s="21" t="str">
        <x:v>03265901-3b0a-4d3e-ab2c-001a6cab59c3</x:v>
      </x:c>
      <x:c r="D268" s="21" t="n">
        <x:v>4</x:v>
      </x:c>
      <x:c r="E268" s="21" t="str">
        <x:v>Effect</x:v>
      </x:c>
      <x:c r="F268" s="21" t="str">
        <x:v>Получение черты</x:v>
      </x:c>
      <x:c r="G268" s="21" t="str">
        <x:v>pf_1 · 5dbd9afb-b125-4038-9d51-54819757c777</x:v>
      </x:c>
      <x:c r="H268"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268" s="21" t="str">
        <x:v>verified_mechanical</x:v>
      </x:c>
      <x:c r="J268" s="21" t="str">
        <x:v>Not tested</x:v>
      </x:c>
      <x:c r="K268" s="21" t="str"/>
      <x:c r="L268" s="21" t="str"/>
    </x:row>
    <x:row r="269" ht="48" customHeight="1">
      <x:c r="A269" s="21" t="str">
        <x:v>Паладин</x:v>
      </x:c>
      <x:c r="B269" s="21" t="str">
        <x:v>CLASS-paladin</x:v>
      </x:c>
      <x:c r="C269" s="21" t="str">
        <x:v>03265901-3b0a-4d3e-ab2c-001a6cab59c3</x:v>
      </x:c>
      <x:c r="D269" s="21" t="n">
        <x:v>4</x:v>
      </x:c>
      <x:c r="E269" s="21" t="str">
        <x:v>Effect</x:v>
      </x:c>
      <x:c r="F269" s="21" t="str">
        <x:v>Заклинания (паладин)</x:v>
      </x:c>
      <x:c r="G269" s="21" t="str">
        <x:v>caster-paladin-spells · 8923056f-52e1-430f-a937-80b72cf4f0c8</x:v>
      </x:c>
      <x:c r="H269"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69" s="21" t="str">
        <x:v>verified_mechanical</x:v>
      </x:c>
      <x:c r="J269" s="21" t="str">
        <x:v>Not tested</x:v>
      </x:c>
      <x:c r="K269" s="21" t="str"/>
      <x:c r="L269" s="21" t="str"/>
    </x:row>
    <x:row r="270" ht="48" customHeight="1">
      <x:c r="A270" s="21" t="str">
        <x:v>Паладин</x:v>
      </x:c>
      <x:c r="B270" s="21" t="str">
        <x:v>CLASS-paladin</x:v>
      </x:c>
      <x:c r="C270" s="21" t="str">
        <x:v>03265901-3b0a-4d3e-ab2c-001a6cab59c3</x:v>
      </x:c>
      <x:c r="D270" s="21" t="n">
        <x:v>4</x:v>
      </x:c>
      <x:c r="E270" s="21" t="str">
        <x:v>Effect</x:v>
      </x:c>
      <x:c r="F270" s="21" t="str">
        <x:v>Искусное владение оружием: ещё один вид</x:v>
      </x:c>
      <x:c r="G270" s="21" t="str">
        <x:v>EFF-weapon-mastery-plus-4 · 98303d8c-be14-434a-b9e5-8ae0355bc2ac</x:v>
      </x:c>
      <x:c r="H270" s="21" t="str">
        <x:v>Вы можете пользоваться свойством искусности ещё одного вида оружия (рост по таблице класса на 4-м уровне). | Activation: passive | Effects: [{"resolution":"auto","result":[{"context":"in_play","count":1,"grant":{"kind":"weapon_mastery"},"id":"weapon-mastery","kind":"choice","options":{"source":"weapon"},"prompt":"Искусность: выберите ещё один вид оружия"}]}]</x:v>
      </x:c>
      <x:c r="I270" s="21" t="str">
        <x:v>verified_mechanical</x:v>
      </x:c>
      <x:c r="J270" s="21" t="str">
        <x:v>Not tested</x:v>
      </x:c>
      <x:c r="K270" s="21" t="str"/>
      <x:c r="L270" s="21" t="str"/>
    </x:row>
    <x:row r="271" ht="48" customHeight="1">
      <x:c r="A271" s="21" t="str">
        <x:v>Паладин</x:v>
      </x:c>
      <x:c r="B271" s="21" t="str">
        <x:v>CLASS-paladin</x:v>
      </x:c>
      <x:c r="C271" s="21" t="str">
        <x:v>03265901-3b0a-4d3e-ab2c-001a6cab59c3</x:v>
      </x:c>
      <x:c r="D271" s="21" t="n">
        <x:v>5</x:v>
      </x:c>
      <x:c r="E271" s="21" t="str">
        <x:v>Effect</x:v>
      </x:c>
      <x:c r="F271" s="21" t="str">
        <x:v>Заклинания (паладин)</x:v>
      </x:c>
      <x:c r="G271" s="21" t="str">
        <x:v>caster-paladin-spells · 8923056f-52e1-430f-a937-80b72cf4f0c8</x:v>
      </x:c>
      <x:c r="H271"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1" s="21" t="str">
        <x:v>verified_mechanical</x:v>
      </x:c>
      <x:c r="J271" s="21" t="str">
        <x:v>Not tested</x:v>
      </x:c>
      <x:c r="K271" s="21" t="str"/>
      <x:c r="L271" s="21" t="str"/>
    </x:row>
    <x:row r="272" ht="48" customHeight="1">
      <x:c r="A272" s="21" t="str">
        <x:v>Паладин</x:v>
      </x:c>
      <x:c r="B272" s="21" t="str">
        <x:v>CLASS-paladin</x:v>
      </x:c>
      <x:c r="C272" s="21" t="str">
        <x:v>03265901-3b0a-4d3e-ab2c-001a6cab59c3</x:v>
      </x:c>
      <x:c r="D272" s="21" t="n">
        <x:v>6</x:v>
      </x:c>
      <x:c r="E272" s="21" t="str">
        <x:v>Effect</x:v>
      </x:c>
      <x:c r="F272" s="21" t="str">
        <x:v>Заклинания (паладин)</x:v>
      </x:c>
      <x:c r="G272" s="21" t="str">
        <x:v>caster-paladin-spells · 8923056f-52e1-430f-a937-80b72cf4f0c8</x:v>
      </x:c>
      <x:c r="H272"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2" s="21" t="str">
        <x:v>verified_mechanical</x:v>
      </x:c>
      <x:c r="J272" s="21" t="str">
        <x:v>Not tested</x:v>
      </x:c>
      <x:c r="K272" s="21" t="str"/>
      <x:c r="L272" s="21" t="str"/>
    </x:row>
    <x:row r="273" ht="48" customHeight="1">
      <x:c r="A273" s="21" t="str">
        <x:v>Паладин</x:v>
      </x:c>
      <x:c r="B273" s="21" t="str">
        <x:v>CLASS-paladin</x:v>
      </x:c>
      <x:c r="C273" s="21" t="str">
        <x:v>03265901-3b0a-4d3e-ab2c-001a6cab59c3</x:v>
      </x:c>
      <x:c r="D273" s="21" t="n">
        <x:v>7</x:v>
      </x:c>
      <x:c r="E273" s="21" t="str">
        <x:v>Effect</x:v>
      </x:c>
      <x:c r="F273" s="21" t="str">
        <x:v>Заклинания (паладин)</x:v>
      </x:c>
      <x:c r="G273" s="21" t="str">
        <x:v>caster-paladin-spells · 8923056f-52e1-430f-a937-80b72cf4f0c8</x:v>
      </x:c>
      <x:c r="H273"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3" s="21" t="str">
        <x:v>verified_mechanical</x:v>
      </x:c>
      <x:c r="J273" s="21" t="str">
        <x:v>Not tested</x:v>
      </x:c>
      <x:c r="K273" s="21" t="str"/>
      <x:c r="L273" s="21" t="str"/>
    </x:row>
    <x:row r="274" ht="48" customHeight="1">
      <x:c r="A274" s="21" t="str">
        <x:v>Паладин</x:v>
      </x:c>
      <x:c r="B274" s="21" t="str">
        <x:v>CLASS-paladin</x:v>
      </x:c>
      <x:c r="C274" s="21" t="str">
        <x:v>03265901-3b0a-4d3e-ab2c-001a6cab59c3</x:v>
      </x:c>
      <x:c r="D274" s="21" t="n">
        <x:v>8</x:v>
      </x:c>
      <x:c r="E274" s="21" t="str">
        <x:v>Effect</x:v>
      </x:c>
      <x:c r="F274" s="21" t="str">
        <x:v>Получение черты · слот 2</x:v>
      </x:c>
      <x:c r="G274" s="21" t="str">
        <x:v>pf_2 · 55689cd6-f67f-4368-8a96-53bc134fd78b</x:v>
      </x:c>
      <x:c r="H274" s="21" t="str">
        <x:v>Получение черты · слот 2 | Activation: passive | Effects: [{"grant":{"kind":"grant_feat"},"id":"gain_feat","kind":"choice","options":{"categories":["origin","general"],"source":"feat"},"prompt":"Получение черты"}]</x:v>
      </x:c>
      <x:c r="I274" s="21" t="str">
        <x:v>verified_mechanical</x:v>
      </x:c>
      <x:c r="J274" s="21" t="str">
        <x:v>Not tested</x:v>
      </x:c>
      <x:c r="K274" s="21" t="str"/>
      <x:c r="L274" s="21" t="str"/>
    </x:row>
    <x:row r="275" ht="48" customHeight="1">
      <x:c r="A275" s="21" t="str">
        <x:v>Паладин</x:v>
      </x:c>
      <x:c r="B275" s="21" t="str">
        <x:v>CLASS-paladin</x:v>
      </x:c>
      <x:c r="C275" s="21" t="str">
        <x:v>03265901-3b0a-4d3e-ab2c-001a6cab59c3</x:v>
      </x:c>
      <x:c r="D275" s="21" t="n">
        <x:v>8</x:v>
      </x:c>
      <x:c r="E275" s="21" t="str">
        <x:v>Effect</x:v>
      </x:c>
      <x:c r="F275" s="21" t="str">
        <x:v>Заклинания (паладин)</x:v>
      </x:c>
      <x:c r="G275" s="21" t="str">
        <x:v>caster-paladin-spells · 8923056f-52e1-430f-a937-80b72cf4f0c8</x:v>
      </x:c>
      <x:c r="H275"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5" s="21" t="str">
        <x:v>verified_mechanical</x:v>
      </x:c>
      <x:c r="J275" s="21" t="str">
        <x:v>Not tested</x:v>
      </x:c>
      <x:c r="K275" s="21" t="str"/>
      <x:c r="L275" s="21" t="str"/>
    </x:row>
    <x:row r="276" ht="48" customHeight="1">
      <x:c r="A276" s="21" t="str">
        <x:v>Паладин</x:v>
      </x:c>
      <x:c r="B276" s="21" t="str">
        <x:v>CLASS-paladin</x:v>
      </x:c>
      <x:c r="C276" s="21" t="str">
        <x:v>03265901-3b0a-4d3e-ab2c-001a6cab59c3</x:v>
      </x:c>
      <x:c r="D276" s="21" t="n">
        <x:v>9</x:v>
      </x:c>
      <x:c r="E276" s="21" t="str">
        <x:v>Effect</x:v>
      </x:c>
      <x:c r="F276" s="21" t="str">
        <x:v>Заклинания (паладин)</x:v>
      </x:c>
      <x:c r="G276" s="21" t="str">
        <x:v>caster-paladin-spells · 8923056f-52e1-430f-a937-80b72cf4f0c8</x:v>
      </x:c>
      <x:c r="H276"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6" s="21" t="str">
        <x:v>verified_mechanical</x:v>
      </x:c>
      <x:c r="J276" s="21" t="str">
        <x:v>Not tested</x:v>
      </x:c>
      <x:c r="K276" s="21" t="str"/>
      <x:c r="L276" s="21" t="str"/>
    </x:row>
    <x:row r="277" ht="48" customHeight="1">
      <x:c r="A277" s="21" t="str">
        <x:v>Паладин</x:v>
      </x:c>
      <x:c r="B277" s="21" t="str">
        <x:v>CLASS-paladin</x:v>
      </x:c>
      <x:c r="C277" s="21" t="str">
        <x:v>03265901-3b0a-4d3e-ab2c-001a6cab59c3</x:v>
      </x:c>
      <x:c r="D277" s="21" t="n">
        <x:v>10</x:v>
      </x:c>
      <x:c r="E277" s="21" t="str">
        <x:v>Effect</x:v>
      </x:c>
      <x:c r="F277" s="21" t="str">
        <x:v>Заклинания (паладин)</x:v>
      </x:c>
      <x:c r="G277" s="21" t="str">
        <x:v>caster-paladin-spells · 8923056f-52e1-430f-a937-80b72cf4f0c8</x:v>
      </x:c>
      <x:c r="H277"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7" s="21" t="str">
        <x:v>verified_mechanical</x:v>
      </x:c>
      <x:c r="J277" s="21" t="str">
        <x:v>Not tested</x:v>
      </x:c>
      <x:c r="K277" s="21" t="str"/>
      <x:c r="L277" s="21" t="str"/>
    </x:row>
    <x:row r="278" ht="48" customHeight="1">
      <x:c r="A278" s="21" t="str">
        <x:v>Паладин</x:v>
      </x:c>
      <x:c r="B278" s="21" t="str">
        <x:v>CLASS-paladin</x:v>
      </x:c>
      <x:c r="C278" s="21" t="str">
        <x:v>03265901-3b0a-4d3e-ab2c-001a6cab59c3</x:v>
      </x:c>
      <x:c r="D278" s="21" t="n">
        <x:v>11</x:v>
      </x:c>
      <x:c r="E278" s="21" t="str">
        <x:v>Effect</x:v>
      </x:c>
      <x:c r="F278" s="21" t="str">
        <x:v>Заклинания (паладин)</x:v>
      </x:c>
      <x:c r="G278" s="21" t="str">
        <x:v>caster-paladin-spells · 8923056f-52e1-430f-a937-80b72cf4f0c8</x:v>
      </x:c>
      <x:c r="H278"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78" s="21" t="str">
        <x:v>verified_mechanical</x:v>
      </x:c>
      <x:c r="J278" s="21" t="str">
        <x:v>Not tested</x:v>
      </x:c>
      <x:c r="K278" s="21" t="str"/>
      <x:c r="L278" s="21" t="str"/>
    </x:row>
    <x:row r="279" ht="48" customHeight="1">
      <x:c r="A279" s="21" t="str">
        <x:v>Паладин</x:v>
      </x:c>
      <x:c r="B279" s="21" t="str">
        <x:v>CLASS-paladin</x:v>
      </x:c>
      <x:c r="C279" s="21" t="str">
        <x:v>03265901-3b0a-4d3e-ab2c-001a6cab59c3</x:v>
      </x:c>
      <x:c r="D279" s="21" t="n">
        <x:v>12</x:v>
      </x:c>
      <x:c r="E279" s="21" t="str">
        <x:v>Effect</x:v>
      </x:c>
      <x:c r="F279" s="21" t="str">
        <x:v>Получение черты · слот 3</x:v>
      </x:c>
      <x:c r="G279" s="21" t="str">
        <x:v>pf_3 · 6ec4b5ab-4abc-47af-b45a-560ca2a1bb07</x:v>
      </x:c>
      <x:c r="H279" s="21" t="str">
        <x:v>Получение черты · слот 3 | Activation: passive | Effects: [{"grant":{"kind":"grant_feat"},"id":"gain_feat","kind":"choice","options":{"categories":["origin","general"],"source":"feat"},"prompt":"Получение черты"}]</x:v>
      </x:c>
      <x:c r="I279" s="21" t="str">
        <x:v>verified_mechanical</x:v>
      </x:c>
      <x:c r="J279" s="21" t="str">
        <x:v>Not tested</x:v>
      </x:c>
      <x:c r="K279" s="21" t="str"/>
      <x:c r="L279" s="21" t="str"/>
    </x:row>
    <x:row r="280" ht="48" customHeight="1">
      <x:c r="A280" s="21" t="str">
        <x:v>Паладин</x:v>
      </x:c>
      <x:c r="B280" s="21" t="str">
        <x:v>CLASS-paladin</x:v>
      </x:c>
      <x:c r="C280" s="21" t="str">
        <x:v>03265901-3b0a-4d3e-ab2c-001a6cab59c3</x:v>
      </x:c>
      <x:c r="D280" s="21" t="n">
        <x:v>12</x:v>
      </x:c>
      <x:c r="E280" s="21" t="str">
        <x:v>Effect</x:v>
      </x:c>
      <x:c r="F280" s="21" t="str">
        <x:v>Заклинания (паладин)</x:v>
      </x:c>
      <x:c r="G280" s="21" t="str">
        <x:v>caster-paladin-spells · 8923056f-52e1-430f-a937-80b72cf4f0c8</x:v>
      </x:c>
      <x:c r="H280"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0" s="21" t="str">
        <x:v>verified_mechanical</x:v>
      </x:c>
      <x:c r="J280" s="21" t="str">
        <x:v>Not tested</x:v>
      </x:c>
      <x:c r="K280" s="21" t="str"/>
      <x:c r="L280" s="21" t="str"/>
    </x:row>
    <x:row r="281" ht="48" customHeight="1">
      <x:c r="A281" s="21" t="str">
        <x:v>Паладин</x:v>
      </x:c>
      <x:c r="B281" s="21" t="str">
        <x:v>CLASS-paladin</x:v>
      </x:c>
      <x:c r="C281" s="21" t="str">
        <x:v>03265901-3b0a-4d3e-ab2c-001a6cab59c3</x:v>
      </x:c>
      <x:c r="D281" s="21" t="n">
        <x:v>13</x:v>
      </x:c>
      <x:c r="E281" s="21" t="str">
        <x:v>Effect</x:v>
      </x:c>
      <x:c r="F281" s="21" t="str">
        <x:v>Заклинания (паладин)</x:v>
      </x:c>
      <x:c r="G281" s="21" t="str">
        <x:v>caster-paladin-spells · 8923056f-52e1-430f-a937-80b72cf4f0c8</x:v>
      </x:c>
      <x:c r="H281"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1" s="21" t="str">
        <x:v>verified_mechanical</x:v>
      </x:c>
      <x:c r="J281" s="21" t="str">
        <x:v>Not tested</x:v>
      </x:c>
      <x:c r="K281" s="21" t="str"/>
      <x:c r="L281" s="21" t="str"/>
    </x:row>
    <x:row r="282" ht="48" customHeight="1">
      <x:c r="A282" s="21" t="str">
        <x:v>Паладин</x:v>
      </x:c>
      <x:c r="B282" s="21" t="str">
        <x:v>CLASS-paladin</x:v>
      </x:c>
      <x:c r="C282" s="21" t="str">
        <x:v>03265901-3b0a-4d3e-ab2c-001a6cab59c3</x:v>
      </x:c>
      <x:c r="D282" s="21" t="n">
        <x:v>14</x:v>
      </x:c>
      <x:c r="E282" s="21" t="str">
        <x:v>Effect</x:v>
      </x:c>
      <x:c r="F282" s="21" t="str">
        <x:v>Заклинания (паладин)</x:v>
      </x:c>
      <x:c r="G282" s="21" t="str">
        <x:v>caster-paladin-spells · 8923056f-52e1-430f-a937-80b72cf4f0c8</x:v>
      </x:c>
      <x:c r="H282"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2" s="21" t="str">
        <x:v>verified_mechanical</x:v>
      </x:c>
      <x:c r="J282" s="21" t="str">
        <x:v>Not tested</x:v>
      </x:c>
      <x:c r="K282" s="21" t="str"/>
      <x:c r="L282" s="21" t="str"/>
    </x:row>
    <x:row r="283" ht="48" customHeight="1">
      <x:c r="A283" s="21" t="str">
        <x:v>Паладин</x:v>
      </x:c>
      <x:c r="B283" s="21" t="str">
        <x:v>CLASS-paladin</x:v>
      </x:c>
      <x:c r="C283" s="21" t="str">
        <x:v>03265901-3b0a-4d3e-ab2c-001a6cab59c3</x:v>
      </x:c>
      <x:c r="D283" s="21" t="n">
        <x:v>15</x:v>
      </x:c>
      <x:c r="E283" s="21" t="str">
        <x:v>Effect</x:v>
      </x:c>
      <x:c r="F283" s="21" t="str">
        <x:v>Заклинания (паладин)</x:v>
      </x:c>
      <x:c r="G283" s="21" t="str">
        <x:v>caster-paladin-spells · 8923056f-52e1-430f-a937-80b72cf4f0c8</x:v>
      </x:c>
      <x:c r="H283"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3" s="21" t="str">
        <x:v>verified_mechanical</x:v>
      </x:c>
      <x:c r="J283" s="21" t="str">
        <x:v>Not tested</x:v>
      </x:c>
      <x:c r="K283" s="21" t="str"/>
      <x:c r="L283" s="21" t="str"/>
    </x:row>
    <x:row r="284" ht="48" customHeight="1">
      <x:c r="A284" s="21" t="str">
        <x:v>Паладин</x:v>
      </x:c>
      <x:c r="B284" s="21" t="str">
        <x:v>CLASS-paladin</x:v>
      </x:c>
      <x:c r="C284" s="21" t="str">
        <x:v>03265901-3b0a-4d3e-ab2c-001a6cab59c3</x:v>
      </x:c>
      <x:c r="D284" s="21" t="n">
        <x:v>16</x:v>
      </x:c>
      <x:c r="E284" s="21" t="str">
        <x:v>Effect</x:v>
      </x:c>
      <x:c r="F284" s="21" t="str">
        <x:v>Получение черты · слот 4</x:v>
      </x:c>
      <x:c r="G284" s="21" t="str">
        <x:v>pf_4 · f3a0400f-579f-4a68-8105-cfad1d862357</x:v>
      </x:c>
      <x:c r="H284" s="21" t="str">
        <x:v>Получение черты · слот 4 | Activation: passive | Effects: [{"grant":{"kind":"grant_feat"},"id":"gain_feat","kind":"choice","options":{"categories":["origin","general"],"source":"feat"},"prompt":"Получение черты"}]</x:v>
      </x:c>
      <x:c r="I284" s="21" t="str">
        <x:v>verified_mechanical</x:v>
      </x:c>
      <x:c r="J284" s="21" t="str">
        <x:v>Not tested</x:v>
      </x:c>
      <x:c r="K284" s="21" t="str"/>
      <x:c r="L284" s="21" t="str"/>
    </x:row>
    <x:row r="285" ht="48" customHeight="1">
      <x:c r="A285" s="21" t="str">
        <x:v>Паладин</x:v>
      </x:c>
      <x:c r="B285" s="21" t="str">
        <x:v>CLASS-paladin</x:v>
      </x:c>
      <x:c r="C285" s="21" t="str">
        <x:v>03265901-3b0a-4d3e-ab2c-001a6cab59c3</x:v>
      </x:c>
      <x:c r="D285" s="21" t="n">
        <x:v>16</x:v>
      </x:c>
      <x:c r="E285" s="21" t="str">
        <x:v>Effect</x:v>
      </x:c>
      <x:c r="F285" s="21" t="str">
        <x:v>Заклинания (паладин)</x:v>
      </x:c>
      <x:c r="G285" s="21" t="str">
        <x:v>caster-paladin-spells · 8923056f-52e1-430f-a937-80b72cf4f0c8</x:v>
      </x:c>
      <x:c r="H285"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5" s="21" t="str">
        <x:v>verified_mechanical</x:v>
      </x:c>
      <x:c r="J285" s="21" t="str">
        <x:v>Not tested</x:v>
      </x:c>
      <x:c r="K285" s="21" t="str"/>
      <x:c r="L285" s="21" t="str"/>
    </x:row>
    <x:row r="286" ht="48" customHeight="1">
      <x:c r="A286" s="21" t="str">
        <x:v>Паладин</x:v>
      </x:c>
      <x:c r="B286" s="21" t="str">
        <x:v>CLASS-paladin</x:v>
      </x:c>
      <x:c r="C286" s="21" t="str">
        <x:v>03265901-3b0a-4d3e-ab2c-001a6cab59c3</x:v>
      </x:c>
      <x:c r="D286" s="21" t="n">
        <x:v>17</x:v>
      </x:c>
      <x:c r="E286" s="21" t="str">
        <x:v>Effect</x:v>
      </x:c>
      <x:c r="F286" s="21" t="str">
        <x:v>Заклинания (паладин)</x:v>
      </x:c>
      <x:c r="G286" s="21" t="str">
        <x:v>caster-paladin-spells · 8923056f-52e1-430f-a937-80b72cf4f0c8</x:v>
      </x:c>
      <x:c r="H286"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6" s="21" t="str">
        <x:v>verified_mechanical</x:v>
      </x:c>
      <x:c r="J286" s="21" t="str">
        <x:v>Not tested</x:v>
      </x:c>
      <x:c r="K286" s="21" t="str"/>
      <x:c r="L286" s="21" t="str"/>
    </x:row>
    <x:row r="287" ht="48" customHeight="1">
      <x:c r="A287" s="21" t="str">
        <x:v>Паладин</x:v>
      </x:c>
      <x:c r="B287" s="21" t="str">
        <x:v>CLASS-paladin</x:v>
      </x:c>
      <x:c r="C287" s="21" t="str">
        <x:v>03265901-3b0a-4d3e-ab2c-001a6cab59c3</x:v>
      </x:c>
      <x:c r="D287" s="21" t="n">
        <x:v>18</x:v>
      </x:c>
      <x:c r="E287" s="21" t="str">
        <x:v>Effect</x:v>
      </x:c>
      <x:c r="F287" s="21" t="str">
        <x:v>Заклинания (паладин)</x:v>
      </x:c>
      <x:c r="G287" s="21" t="str">
        <x:v>caster-paladin-spells · 8923056f-52e1-430f-a937-80b72cf4f0c8</x:v>
      </x:c>
      <x:c r="H287"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7" s="21" t="str">
        <x:v>verified_mechanical</x:v>
      </x:c>
      <x:c r="J287" s="21" t="str">
        <x:v>Not tested</x:v>
      </x:c>
      <x:c r="K287" s="21" t="str"/>
      <x:c r="L287" s="21" t="str"/>
    </x:row>
    <x:row r="288" ht="48" customHeight="1">
      <x:c r="A288" s="21" t="str">
        <x:v>Паладин</x:v>
      </x:c>
      <x:c r="B288" s="21" t="str">
        <x:v>CLASS-paladin</x:v>
      </x:c>
      <x:c r="C288" s="21" t="str">
        <x:v>03265901-3b0a-4d3e-ab2c-001a6cab59c3</x:v>
      </x:c>
      <x:c r="D288" s="21" t="n">
        <x:v>19</x:v>
      </x:c>
      <x:c r="E288" s="21" t="str">
        <x:v>Effect</x:v>
      </x:c>
      <x:c r="F288" s="21" t="str">
        <x:v>Получение черты · слот 5</x:v>
      </x:c>
      <x:c r="G288" s="21" t="str">
        <x:v>pf_5 · f5694b06-f2f8-40a7-8521-cc6bfe1e93c6</x:v>
      </x:c>
      <x:c r="H288" s="21" t="str">
        <x:v>Получение черты · слот 5 | Activation: passive | Effects: [{"grant":{"kind":"grant_feat"},"id":"gain_feat","kind":"choice","options":{"categories":["origin","general"],"source":"feat"},"prompt":"Получение черты"}]</x:v>
      </x:c>
      <x:c r="I288" s="21" t="str">
        <x:v>verified_mechanical</x:v>
      </x:c>
      <x:c r="J288" s="21" t="str">
        <x:v>Not tested</x:v>
      </x:c>
      <x:c r="K288" s="21" t="str"/>
      <x:c r="L288" s="21" t="str"/>
    </x:row>
    <x:row r="289" ht="48" customHeight="1">
      <x:c r="A289" s="21" t="str">
        <x:v>Паладин</x:v>
      </x:c>
      <x:c r="B289" s="21" t="str">
        <x:v>CLASS-paladin</x:v>
      </x:c>
      <x:c r="C289" s="21" t="str">
        <x:v>03265901-3b0a-4d3e-ab2c-001a6cab59c3</x:v>
      </x:c>
      <x:c r="D289" s="21" t="n">
        <x:v>19</x:v>
      </x:c>
      <x:c r="E289" s="21" t="str">
        <x:v>Effect</x:v>
      </x:c>
      <x:c r="F289" s="21" t="str">
        <x:v>Заклинания (паладин)</x:v>
      </x:c>
      <x:c r="G289" s="21" t="str">
        <x:v>caster-paladin-spells · 8923056f-52e1-430f-a937-80b72cf4f0c8</x:v>
      </x:c>
      <x:c r="H289"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89" s="21" t="str">
        <x:v>verified_mechanical</x:v>
      </x:c>
      <x:c r="J289" s="21" t="str">
        <x:v>Not tested</x:v>
      </x:c>
      <x:c r="K289" s="21" t="str"/>
      <x:c r="L289" s="21" t="str"/>
    </x:row>
    <x:row r="290" ht="48" customHeight="1">
      <x:c r="A290" s="21" t="str">
        <x:v>Паладин</x:v>
      </x:c>
      <x:c r="B290" s="21" t="str">
        <x:v>CLASS-paladin</x:v>
      </x:c>
      <x:c r="C290" s="21" t="str">
        <x:v>03265901-3b0a-4d3e-ab2c-001a6cab59c3</x:v>
      </x:c>
      <x:c r="D290" s="21" t="n">
        <x:v>20</x:v>
      </x:c>
      <x:c r="E290" s="21" t="str">
        <x:v>Effect</x:v>
      </x:c>
      <x:c r="F290" s="21" t="str">
        <x:v>Заклинания (паладин)</x:v>
      </x:c>
      <x:c r="G290" s="21" t="str">
        <x:v>caster-paladin-spells · 8923056f-52e1-430f-a937-80b72cf4f0c8</x:v>
      </x:c>
      <x:c r="H290" s="21" t="str">
        <x:v>Выбор заклинаний паладина на уровне (доступные круги). Повторяемый: по одному на уровень. | Activation: passive | Effects: [{"resolution":"auto","result":[{"count":1,"grant":{"kind":"grant_spell","label":"known"},"id":"paladin_spells_recurring","kind":"choice","options":{"filter":{"classes":["паладин"],"only_available_slots":true},"source":"spell"},"prompt":"Выберите заклинание","resolution":"on_acquire"}]}]</x:v>
      </x:c>
      <x:c r="I290" s="21" t="str">
        <x:v>verified_mechanical</x:v>
      </x:c>
      <x:c r="J290" s="21" t="str">
        <x:v>Not tested</x:v>
      </x:c>
      <x:c r="K290" s="21" t="str"/>
      <x:c r="L290" s="21" t="str"/>
    </x:row>
    <x:row r="291" ht="48" customHeight="1">
      <x:c r="A291" s="21" t="str">
        <x:v>Плут</x:v>
      </x:c>
      <x:c r="B291" s="21" t="str">
        <x:v>CLASS-rogue</x:v>
      </x:c>
      <x:c r="C291" s="21" t="str">
        <x:v>aa30f40a-88e5-4a0a-a79e-f3f5119bfa41</x:v>
      </x:c>
      <x:c r="D291" s="21" t="n">
        <x:v>1</x:v>
      </x:c>
      <x:c r="E291" s="21" t="str">
        <x:v>Class chassis</x:v>
      </x:c>
      <x:c r="F291" s="21" t="str">
        <x:v>Плут</x:v>
      </x:c>
      <x:c r="G291" s="21" t="str">
        <x:v>aa30f40a-88e5-4a0a-a79e-f3f5119bfa41</x:v>
      </x:c>
      <x:c r="H291" s="21" t="str">
        <x:v>Hit die d8; primary ["dex"]; saves ["dex","int"]; armor ["light"]; weapons ["simple","martial"]; skills {"count":4,"options":["acrobatics","athletics","deception","insight","intimidation","investigation","perception","performance","persuasion","sleight_of_hand","stealth"]}. Мастер скрытности и точных ударов.</x:v>
      </x:c>
      <x:c r="I291" s="21" t="str">
        <x:v>verified_partial</x:v>
      </x:c>
      <x:c r="J291" s="21" t="str">
        <x:v>Passed</x:v>
      </x:c>
      <x:c r="K291" s="21" t="str"/>
      <x:c r="L29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92" ht="48" customHeight="1">
      <x:c r="A292" s="21" t="str">
        <x:v>Плут</x:v>
      </x:c>
      <x:c r="B292" s="21" t="str">
        <x:v>CLASS-rogue</x:v>
      </x:c>
      <x:c r="C292" s="21" t="str">
        <x:v>aa30f40a-88e5-4a0a-a79e-f3f5119bfa41</x:v>
      </x:c>
      <x:c r="D292" s="21" t="n">
        <x:v>1</x:v>
      </x:c>
      <x:c r="E292" s="21" t="str">
        <x:v>Effect</x:v>
      </x:c>
      <x:c r="F292" s="21" t="str">
        <x:v>Скрытая атака</x:v>
      </x:c>
      <x:c r="G292" s="21" t="str">
        <x:v>EFF-sneak-attack · 26e90427-70ba-4fc4-b7d3-a19d88449bd5</x:v>
      </x:c>
      <x:c r="H292" s="21" t="str">
        <x:v>Дополнительный урон при условиях. | Activation: triggered | Trigger: {"circumstances":[{"kind":"all_of","of":[{"kind":"any_of","of":[{"kind":"attack_weapon_property","value":"finesse"},{"kind":"attack_range","value":"ranged"}]},{"kind":"any_of","of":[{"kind":"attack_advantage_state","val… | Effects: [{"resolution":"auto","result":[{"ability":"none","dice":"1d6","kind":"damage","type":"weapon"}],"who":"target"}]</x:v>
      </x:c>
      <x:c r="I292" s="21" t="str">
        <x:v>verified_mechanical</x:v>
      </x:c>
      <x:c r="J292" s="21" t="str">
        <x:v>Passed</x:v>
      </x:c>
      <x:c r="K292" s="21" t="str"/>
      <x:c r="L292"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93" ht="48" customHeight="1">
      <x:c r="A293" s="21" t="str">
        <x:v>Плут</x:v>
      </x:c>
      <x:c r="B293" s="21" t="str">
        <x:v>CLASS-rogue</x:v>
      </x:c>
      <x:c r="C293" s="21" t="str">
        <x:v>aa30f40a-88e5-4a0a-a79e-f3f5119bfa41</x:v>
      </x:c>
      <x:c r="D293" s="21" t="n">
        <x:v>1</x:v>
      </x:c>
      <x:c r="E293" s="21" t="str">
        <x:v>Effect</x:v>
      </x:c>
      <x:c r="F293" s="21" t="str">
        <x:v>Экспертиза</x:v>
      </x:c>
      <x:c r="G293" s="21" t="str">
        <x:v>EFF-rogue-expertise · 083ca63a-be75-4b3b-81b4-bcba905aa8af</x:v>
      </x:c>
      <x:c r="H293" s="21" t="str">
        <x:v>Экспертиза в двух навыках. | Activation: passive | Effects: [{"count":2,"grant":{"expert":true,"kind":"grant_proficiency","prof":"skill"},"id":"rogue_expertise_l1","kind":"choice","options":{"filter":"proficient","source":"skill"},"prompt":"Выберите 2 навыка для экспертизы","resolution":"on_acquire"}]</x:v>
      </x:c>
      <x:c r="I293" s="21" t="str">
        <x:v>verified_mechanical</x:v>
      </x:c>
      <x:c r="J293" s="21" t="str">
        <x:v>Passed</x:v>
      </x:c>
      <x:c r="K293" s="21" t="str"/>
      <x:c r="L293"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94" ht="48" customHeight="1">
      <x:c r="A294" s="21" t="str">
        <x:v>Плут</x:v>
      </x:c>
      <x:c r="B294" s="21" t="str">
        <x:v>CLASS-rogue</x:v>
      </x:c>
      <x:c r="C294" s="21" t="str">
        <x:v>aa30f40a-88e5-4a0a-a79e-f3f5119bfa41</x:v>
      </x:c>
      <x:c r="D294" s="21" t="n">
        <x:v>1</x:v>
      </x:c>
      <x:c r="E294" s="21" t="str">
        <x:v>Effect</x:v>
      </x:c>
      <x:c r="F294" s="21" t="str">
        <x:v>Искусное владение оружием</x:v>
      </x:c>
      <x:c r="G294" s="21" t="str">
        <x:v>EFF-weapon-mastery-2 · 58167888-c7a4-4fe3-9fd3-0aabfa8aed9a</x:v>
      </x:c>
      <x:c r="H294" s="21" t="str">
        <x:v>Вы можете пользоваться свойствами искусности двух видов оружия, которым вы владеете, по вашему выбору. Благодаря тренировкам вы можете пользоваться свойствами искусности выбранных вами видов оружия. Каждый раз, когда вы заканчиваете Долгий отдых, вы можете изменить выбор — на листе персонажа в блоке выборов. | Activation: passive | Effects: [{"resolution":"auto","result":[{"context":"in_play","count":2,"grant":{"kind":"weapon_mastery"},"id":"weapon-mastery","kind":"choice","options":{"source":"weapon"},"prompt":"Искусность: выберите 2 вида оружия"}]}]</x:v>
      </x:c>
      <x:c r="I294" s="21" t="str">
        <x:v>verified_mechanical</x:v>
      </x:c>
      <x:c r="J294" s="21" t="str">
        <x:v>Passed</x:v>
      </x:c>
      <x:c r="K294" s="21" t="str"/>
      <x:c r="L29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All eight mastery primitives passed 33 mandatory scenarios; production exposes 25 strict weapon bindings with Cleave, Graze, Nick, Push, Sap, Slow, Topple, and Vex all reachable.</x:v>
      </x:c>
    </x:row>
    <x:row r="295" ht="48" customHeight="1">
      <x:c r="A295" s="21" t="str">
        <x:v>Плут</x:v>
      </x:c>
      <x:c r="B295" s="21" t="str">
        <x:v>CLASS-rogue</x:v>
      </x:c>
      <x:c r="C295" s="21" t="str">
        <x:v>aa30f40a-88e5-4a0a-a79e-f3f5119bfa41</x:v>
      </x:c>
      <x:c r="D295" s="21" t="n">
        <x:v>1</x:v>
      </x:c>
      <x:c r="E295" s="21" t="str">
        <x:v>Effect</x:v>
      </x:c>
      <x:c r="F295" s="21" t="str">
        <x:v>Воровской жаргон</x:v>
      </x:c>
      <x:c r="G295" s="21" t="str">
        <x:v>EFF-rogue-thieves-cant · 112c7397-1f14-4899-92a6-479845c07db1</x:v>
      </x:c>
      <x:c r="H295" s="21" t="str">
        <x:v>Вы знаете Воровской жаргон и ещё один язык по вашему выбору. | Activation: passive | Effects: [{"resolution":"auto","result":[{"kind":"grant_language","value":"thieves_cant"}]},{"count":1,"grant":{"kind":"grant_proficiency","prof":"language"},"id":"rogue_additional_language","kind":"choice","options":{"filter":["common","common_sign_language","elvish","dwarvish","giant","gnomish","goblin","halfling","orc","abyssal","celestial","deep_speech","druidic","draconic","infernal","primordial","sylvan","undercommon"],"source":"language"},"prompt":"Воровской жаргон: выберите ещё один язык","resolution":"on_acquire"}]</x:v>
      </x:c>
      <x:c r="I295" s="21" t="str">
        <x:v>verified_mechanical</x:v>
      </x:c>
      <x:c r="J295" s="21" t="str">
        <x:v>Passed</x:v>
      </x:c>
      <x:c r="K295" s="21" t="str"/>
      <x:c r="L29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296" ht="48" customHeight="1">
      <x:c r="A296" s="21" t="str">
        <x:v>Плут</x:v>
      </x:c>
      <x:c r="B296" s="21" t="str">
        <x:v>CLASS-rogue</x:v>
      </x:c>
      <x:c r="C296" s="21" t="str">
        <x:v>aa30f40a-88e5-4a0a-a79e-f3f5119bfa41</x:v>
      </x:c>
      <x:c r="D296" s="21" t="n">
        <x:v>2</x:v>
      </x:c>
      <x:c r="E296" s="21" t="str">
        <x:v>Effect</x:v>
      </x:c>
      <x:c r="F296" s="21" t="str">
        <x:v>Хитрое действие</x:v>
      </x:c>
      <x:c r="G296" s="21" t="str">
        <x:v>EFF-cunning-action · 0d789f7d-d8db-40f5-b2cc-a22afa8cf15a</x:v>
      </x:c>
      <x:c r="H296" s="21" t="str">
        <x:v>В свой ход вы можете Бонусным действием совершить одно из следующих действий: Засада, Отход или Рывок. | Activation: passive | Effects: [{"resolution":"auto","result":[{"description":"Бонусным действием: Рывок, Отступление или Засada.","kind":"narrative"}]}]</x:v>
      </x:c>
      <x:c r="I296" s="21" t="str">
        <x:v>verified_mechanical</x:v>
      </x:c>
      <x:c r="J296" s="21" t="str">
        <x:v>Not tested</x:v>
      </x:c>
      <x:c r="K296" s="21" t="str"/>
      <x:c r="L296" s="21" t="str"/>
    </x:row>
    <x:row r="297" ht="48" customHeight="1">
      <x:c r="A297" s="21" t="str">
        <x:v>Плут</x:v>
      </x:c>
      <x:c r="B297" s="21" t="str">
        <x:v>CLASS-rogue</x:v>
      </x:c>
      <x:c r="C297" s="21" t="str">
        <x:v>aa30f40a-88e5-4a0a-a79e-f3f5119bfa41</x:v>
      </x:c>
      <x:c r="D297" s="21" t="n">
        <x:v>4</x:v>
      </x:c>
      <x:c r="E297" s="21" t="str">
        <x:v>Effect</x:v>
      </x:c>
      <x:c r="F297" s="21" t="str">
        <x:v>Получение черты</x:v>
      </x:c>
      <x:c r="G297" s="21" t="str">
        <x:v>pf_1 · 5dbd9afb-b125-4038-9d51-54819757c777</x:v>
      </x:c>
      <x:c r="H297"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297" s="21" t="str">
        <x:v>verified_mechanical</x:v>
      </x:c>
      <x:c r="J297" s="21" t="str">
        <x:v>Not tested</x:v>
      </x:c>
      <x:c r="K297" s="21" t="str"/>
      <x:c r="L297" s="21" t="str"/>
    </x:row>
    <x:row r="298" ht="48" customHeight="1">
      <x:c r="A298" s="21" t="str">
        <x:v>Плут</x:v>
      </x:c>
      <x:c r="B298" s="21" t="str">
        <x:v>CLASS-rogue</x:v>
      </x:c>
      <x:c r="C298" s="21" t="str">
        <x:v>aa30f40a-88e5-4a0a-a79e-f3f5119bfa41</x:v>
      </x:c>
      <x:c r="D298" s="21" t="n">
        <x:v>4</x:v>
      </x:c>
      <x:c r="E298" s="21" t="str">
        <x:v>Effect</x:v>
      </x:c>
      <x:c r="F298" s="21" t="str">
        <x:v>Искусное владение оружием: ещё один вид</x:v>
      </x:c>
      <x:c r="G298" s="21" t="str">
        <x:v>EFF-weapon-mastery-plus-4 · 98303d8c-be14-434a-b9e5-8ae0355bc2ac</x:v>
      </x:c>
      <x:c r="H298" s="21" t="str">
        <x:v>Вы можете пользоваться свойством искусности ещё одного вида оружия (рост по таблице класса на 4-м уровне). | Activation: passive | Effects: [{"resolution":"auto","result":[{"context":"in_play","count":1,"grant":{"kind":"weapon_mastery"},"id":"weapon-mastery","kind":"choice","options":{"source":"weapon"},"prompt":"Искусность: выберите ещё один вид оружия"}]}]</x:v>
      </x:c>
      <x:c r="I298" s="21" t="str">
        <x:v>verified_mechanical</x:v>
      </x:c>
      <x:c r="J298" s="21" t="str">
        <x:v>Not tested</x:v>
      </x:c>
      <x:c r="K298" s="21" t="str"/>
      <x:c r="L298" s="21" t="str"/>
    </x:row>
    <x:row r="299" ht="48" customHeight="1">
      <x:c r="A299" s="21" t="str">
        <x:v>Плут</x:v>
      </x:c>
      <x:c r="B299" s="21" t="str">
        <x:v>CLASS-rogue</x:v>
      </x:c>
      <x:c r="C299" s="21" t="str">
        <x:v>aa30f40a-88e5-4a0a-a79e-f3f5119bfa41</x:v>
      </x:c>
      <x:c r="D299" s="21" t="n">
        <x:v>8</x:v>
      </x:c>
      <x:c r="E299" s="21" t="str">
        <x:v>Effect</x:v>
      </x:c>
      <x:c r="F299" s="21" t="str">
        <x:v>Получение черты · слот 2</x:v>
      </x:c>
      <x:c r="G299" s="21" t="str">
        <x:v>pf_2 · 55689cd6-f67f-4368-8a96-53bc134fd78b</x:v>
      </x:c>
      <x:c r="H299" s="21" t="str">
        <x:v>Получение черты · слот 2 | Activation: passive | Effects: [{"grant":{"kind":"grant_feat"},"id":"gain_feat","kind":"choice","options":{"categories":["origin","general"],"source":"feat"},"prompt":"Получение черты"}]</x:v>
      </x:c>
      <x:c r="I299" s="21" t="str">
        <x:v>verified_mechanical</x:v>
      </x:c>
      <x:c r="J299" s="21" t="str">
        <x:v>Not tested</x:v>
      </x:c>
      <x:c r="K299" s="21" t="str"/>
      <x:c r="L299" s="21" t="str"/>
    </x:row>
    <x:row r="300" ht="48" customHeight="1">
      <x:c r="A300" s="21" t="str">
        <x:v>Плут</x:v>
      </x:c>
      <x:c r="B300" s="21" t="str">
        <x:v>CLASS-rogue</x:v>
      </x:c>
      <x:c r="C300" s="21" t="str">
        <x:v>aa30f40a-88e5-4a0a-a79e-f3f5119bfa41</x:v>
      </x:c>
      <x:c r="D300" s="21" t="n">
        <x:v>10</x:v>
      </x:c>
      <x:c r="E300" s="21" t="str">
        <x:v>Effect</x:v>
      </x:c>
      <x:c r="F300" s="21" t="str">
        <x:v>Получение черты · слот 6</x:v>
      </x:c>
      <x:c r="G300" s="21" t="str">
        <x:v>pf_6 · c8cdd0e3-5d9b-4403-9aa7-80c3b691239a</x:v>
      </x:c>
      <x:c r="H300" s="21" t="str">
        <x:v>Получение черты · слот 6 | Activation: passive | Effects: [{"grant":{"kind":"grant_feat"},"id":"gain_feat","kind":"choice","options":{"categories":["origin","general"],"source":"feat"},"prompt":"Получение черты"}]</x:v>
      </x:c>
      <x:c r="I300" s="21" t="str">
        <x:v>verified_mechanical</x:v>
      </x:c>
      <x:c r="J300" s="21" t="str">
        <x:v>Not tested</x:v>
      </x:c>
      <x:c r="K300" s="21" t="str"/>
      <x:c r="L300" s="21" t="str"/>
    </x:row>
    <x:row r="301" ht="48" customHeight="1">
      <x:c r="A301" s="21" t="str">
        <x:v>Плут</x:v>
      </x:c>
      <x:c r="B301" s="21" t="str">
        <x:v>CLASS-rogue</x:v>
      </x:c>
      <x:c r="C301" s="21" t="str">
        <x:v>aa30f40a-88e5-4a0a-a79e-f3f5119bfa41</x:v>
      </x:c>
      <x:c r="D301" s="21" t="n">
        <x:v>12</x:v>
      </x:c>
      <x:c r="E301" s="21" t="str">
        <x:v>Effect</x:v>
      </x:c>
      <x:c r="F301" s="21" t="str">
        <x:v>Получение черты · слот 3</x:v>
      </x:c>
      <x:c r="G301" s="21" t="str">
        <x:v>pf_3 · 6ec4b5ab-4abc-47af-b45a-560ca2a1bb07</x:v>
      </x:c>
      <x:c r="H301" s="21" t="str">
        <x:v>Получение черты · слот 3 | Activation: passive | Effects: [{"grant":{"kind":"grant_feat"},"id":"gain_feat","kind":"choice","options":{"categories":["origin","general"],"source":"feat"},"prompt":"Получение черты"}]</x:v>
      </x:c>
      <x:c r="I301" s="21" t="str">
        <x:v>verified_mechanical</x:v>
      </x:c>
      <x:c r="J301" s="21" t="str">
        <x:v>Not tested</x:v>
      </x:c>
      <x:c r="K301" s="21" t="str"/>
      <x:c r="L301" s="21" t="str"/>
    </x:row>
    <x:row r="302" ht="48" customHeight="1">
      <x:c r="A302" s="21" t="str">
        <x:v>Плут</x:v>
      </x:c>
      <x:c r="B302" s="21" t="str">
        <x:v>CLASS-rogue</x:v>
      </x:c>
      <x:c r="C302" s="21" t="str">
        <x:v>aa30f40a-88e5-4a0a-a79e-f3f5119bfa41</x:v>
      </x:c>
      <x:c r="D302" s="21" t="n">
        <x:v>16</x:v>
      </x:c>
      <x:c r="E302" s="21" t="str">
        <x:v>Effect</x:v>
      </x:c>
      <x:c r="F302" s="21" t="str">
        <x:v>Получение черты · слот 4</x:v>
      </x:c>
      <x:c r="G302" s="21" t="str">
        <x:v>pf_4 · f3a0400f-579f-4a68-8105-cfad1d862357</x:v>
      </x:c>
      <x:c r="H302" s="21" t="str">
        <x:v>Получение черты · слот 4 | Activation: passive | Effects: [{"grant":{"kind":"grant_feat"},"id":"gain_feat","kind":"choice","options":{"categories":["origin","general"],"source":"feat"},"prompt":"Получение черты"}]</x:v>
      </x:c>
      <x:c r="I302" s="21" t="str">
        <x:v>verified_mechanical</x:v>
      </x:c>
      <x:c r="J302" s="21" t="str">
        <x:v>Not tested</x:v>
      </x:c>
      <x:c r="K302" s="21" t="str"/>
      <x:c r="L302" s="21" t="str"/>
    </x:row>
    <x:row r="303" ht="48" customHeight="1">
      <x:c r="A303" s="21" t="str">
        <x:v>Плут</x:v>
      </x:c>
      <x:c r="B303" s="21" t="str">
        <x:v>CLASS-rogue</x:v>
      </x:c>
      <x:c r="C303" s="21" t="str">
        <x:v>aa30f40a-88e5-4a0a-a79e-f3f5119bfa41</x:v>
      </x:c>
      <x:c r="D303" s="21" t="n">
        <x:v>19</x:v>
      </x:c>
      <x:c r="E303" s="21" t="str">
        <x:v>Effect</x:v>
      </x:c>
      <x:c r="F303" s="21" t="str">
        <x:v>Получение черты · слот 5</x:v>
      </x:c>
      <x:c r="G303" s="21" t="str">
        <x:v>pf_5 · f5694b06-f2f8-40a7-8521-cc6bfe1e93c6</x:v>
      </x:c>
      <x:c r="H303" s="21" t="str">
        <x:v>Получение черты · слот 5 | Activation: passive | Effects: [{"grant":{"kind":"grant_feat"},"id":"gain_feat","kind":"choice","options":{"categories":["origin","general"],"source":"feat"},"prompt":"Получение черты"}]</x:v>
      </x:c>
      <x:c r="I303" s="21" t="str">
        <x:v>verified_mechanical</x:v>
      </x:c>
      <x:c r="J303" s="21" t="str">
        <x:v>Not tested</x:v>
      </x:c>
      <x:c r="K303" s="21" t="str"/>
      <x:c r="L303" s="21" t="str"/>
    </x:row>
    <x:row r="304" ht="48" customHeight="1">
      <x:c r="A304" s="21" t="str">
        <x:v>Следопыт</x:v>
      </x:c>
      <x:c r="B304" s="21" t="str">
        <x:v>CLASS-ranger</x:v>
      </x:c>
      <x:c r="C304" s="21" t="str">
        <x:v>7eda481c-0474-4443-9b8a-be08c53564c2</x:v>
      </x:c>
      <x:c r="D304" s="21" t="n">
        <x:v>1</x:v>
      </x:c>
      <x:c r="E304" s="21" t="str">
        <x:v>Class chassis</x:v>
      </x:c>
      <x:c r="F304" s="21" t="str">
        <x:v>Следопыт</x:v>
      </x:c>
      <x:c r="G304" s="21" t="str">
        <x:v>7eda481c-0474-4443-9b8a-be08c53564c2</x:v>
      </x:c>
      <x:c r="H304" s="21" t="str">
        <x:v>Hit die d10; primary ["dex","wis"]; saves ["str","dex"]; armor ["light","medium","shields"]; weapons ["simple","martial"]; skills {"count":3,"options":["animal_handling","athletics","insight","investigation","nature","perception","stealth","survival"]}. Охотник и проводник диких земель.</x:v>
      </x:c>
      <x:c r="I304" s="21" t="str">
        <x:v>verified_partial</x:v>
      </x:c>
      <x:c r="J304" s="21" t="str">
        <x:v>Passed</x:v>
      </x:c>
      <x:c r="K304" s="21" t="str"/>
      <x:c r="L304"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05" ht="48" customHeight="1">
      <x:c r="A305" s="21" t="str">
        <x:v>Следопыт</x:v>
      </x:c>
      <x:c r="B305" s="21" t="str">
        <x:v>CLASS-ranger</x:v>
      </x:c>
      <x:c r="C305" s="21" t="str">
        <x:v>7eda481c-0474-4443-9b8a-be08c53564c2</x:v>
      </x:c>
      <x:c r="D305" s="21" t="n">
        <x:v>1</x:v>
      </x:c>
      <x:c r="E305" s="21" t="str">
        <x:v>Resource</x:v>
      </x:c>
      <x:c r="F305" s="21" t="str">
        <x:v>spell_slot_1</x:v>
      </x:c>
      <x:c r="G305" s="21" t="str"/>
      <x:c r="H305" s="21" t="str">
        <x:v>{"by_level":{"1":2,"3":3,"5":4},"per":"long_rest"}</x:v>
      </x:c>
      <x:c r="I305" s="21" t="str">
        <x:v>verified_partial</x:v>
      </x:c>
      <x:c r="J305" s="21" t="str">
        <x:v>Passed</x:v>
      </x:c>
      <x:c r="K305" s="21" t="str"/>
      <x:c r="L305"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06" ht="48" customHeight="1">
      <x:c r="A306" s="21" t="str">
        <x:v>Следопыт</x:v>
      </x:c>
      <x:c r="B306" s="21" t="str">
        <x:v>CLASS-ranger</x:v>
      </x:c>
      <x:c r="C306" s="21" t="str">
        <x:v>7eda481c-0474-4443-9b8a-be08c53564c2</x:v>
      </x:c>
      <x:c r="D306" s="21" t="n">
        <x:v>3</x:v>
      </x:c>
      <x:c r="E306" s="21" t="str">
        <x:v>Resource</x:v>
      </x:c>
      <x:c r="F306" s="21" t="str">
        <x:v>spell_slot_2</x:v>
      </x:c>
      <x:c r="G306" s="21" t="str"/>
      <x:c r="H306" s="21" t="str">
        <x:v>{"by_level":{"5":2,"7":3},"per":"long_rest"}</x:v>
      </x:c>
      <x:c r="I306" s="21" t="str">
        <x:v>verified_partial</x:v>
      </x:c>
      <x:c r="J306" s="21" t="str">
        <x:v>Not tested</x:v>
      </x:c>
      <x:c r="K306" s="21" t="str"/>
      <x:c r="L306" s="21" t="str">
        <x:v>Checklist inventory correction: spell_slot_2 first becomes available at class level 3; it is not part of the level-1 mini-MVP gate. Its Not tested status is intentionally preserved for the later-level phase.</x:v>
      </x:c>
    </x:row>
    <x:row r="307" ht="48" customHeight="1">
      <x:c r="A307" s="21" t="str">
        <x:v>Следопыт</x:v>
      </x:c>
      <x:c r="B307" s="21" t="str">
        <x:v>CLASS-ranger</x:v>
      </x:c>
      <x:c r="C307" s="21" t="str">
        <x:v>7eda481c-0474-4443-9b8a-be08c53564c2</x:v>
      </x:c>
      <x:c r="D307" s="21" t="n">
        <x:v>5</x:v>
      </x:c>
      <x:c r="E307" s="21" t="str">
        <x:v>Resource</x:v>
      </x:c>
      <x:c r="F307" s="21" t="str">
        <x:v>spell_slot_3</x:v>
      </x:c>
      <x:c r="G307" s="21" t="str"/>
      <x:c r="H307" s="21" t="str">
        <x:v>{"by_level":{"9":2,"11":3},"per":"long_rest"}</x:v>
      </x:c>
      <x:c r="I307" s="21" t="str">
        <x:v>verified_partial</x:v>
      </x:c>
      <x:c r="J307" s="21" t="str">
        <x:v>Not tested</x:v>
      </x:c>
      <x:c r="K307" s="21" t="str"/>
      <x:c r="L307" s="21" t="str">
        <x:v>Checklist inventory correction: spell_slot_3 first becomes available at class level 5; it is not part of the level-1 mini-MVP gate. Its Not tested status is intentionally preserved for the later-level phase.</x:v>
      </x:c>
    </x:row>
    <x:row r="308" ht="48" customHeight="1">
      <x:c r="A308" s="21" t="str">
        <x:v>Следопыт</x:v>
      </x:c>
      <x:c r="B308" s="21" t="str">
        <x:v>CLASS-ranger</x:v>
      </x:c>
      <x:c r="C308" s="21" t="str">
        <x:v>7eda481c-0474-4443-9b8a-be08c53564c2</x:v>
      </x:c>
      <x:c r="D308" s="21" t="n">
        <x:v>7</x:v>
      </x:c>
      <x:c r="E308" s="21" t="str">
        <x:v>Resource</x:v>
      </x:c>
      <x:c r="F308" s="21" t="str">
        <x:v>spell_slot_4</x:v>
      </x:c>
      <x:c r="G308" s="21" t="str"/>
      <x:c r="H308" s="21" t="str">
        <x:v>{"by_level":{"13":1,"15":2,"17":3},"per":"long_rest"}</x:v>
      </x:c>
      <x:c r="I308" s="21" t="str">
        <x:v>verified_partial</x:v>
      </x:c>
      <x:c r="J308" s="21" t="str">
        <x:v>Not tested</x:v>
      </x:c>
      <x:c r="K308" s="21" t="str"/>
      <x:c r="L308" s="21" t="str">
        <x:v>Checklist inventory correction: spell_slot_4 first becomes available at class level 7; it is not part of the level-1 mini-MVP gate. Its Not tested status is intentionally preserved for the later-level phase.</x:v>
      </x:c>
    </x:row>
    <x:row r="309" ht="48" customHeight="1">
      <x:c r="A309" s="21" t="str">
        <x:v>Следопыт</x:v>
      </x:c>
      <x:c r="B309" s="21" t="str">
        <x:v>CLASS-ranger</x:v>
      </x:c>
      <x:c r="C309" s="21" t="str">
        <x:v>7eda481c-0474-4443-9b8a-be08c53564c2</x:v>
      </x:c>
      <x:c r="D309" s="21" t="n">
        <x:v>9</x:v>
      </x:c>
      <x:c r="E309" s="21" t="str">
        <x:v>Resource</x:v>
      </x:c>
      <x:c r="F309" s="21" t="str">
        <x:v>spell_slot_5</x:v>
      </x:c>
      <x:c r="G309" s="21" t="str"/>
      <x:c r="H309" s="21" t="str">
        <x:v>{"by_level":{"17":1,"19":2},"per":"long_rest"}</x:v>
      </x:c>
      <x:c r="I309" s="21" t="str">
        <x:v>verified_partial</x:v>
      </x:c>
      <x:c r="J309" s="21" t="str">
        <x:v>Not tested</x:v>
      </x:c>
      <x:c r="K309" s="21" t="str"/>
      <x:c r="L309" s="21" t="str">
        <x:v>Checklist inventory correction: spell_slot_5 first becomes available at class level 9; it is not part of the level-1 mini-MVP gate. Its Not tested status is intentionally preserved for the later-level phase.</x:v>
      </x:c>
    </x:row>
    <x:row r="310" ht="48" customHeight="1">
      <x:c r="A310" s="21" t="str">
        <x:v>Следопыт</x:v>
      </x:c>
      <x:c r="B310" s="21" t="str">
        <x:v>CLASS-ranger</x:v>
      </x:c>
      <x:c r="C310" s="21" t="str">
        <x:v>7eda481c-0474-4443-9b8a-be08c53564c2</x:v>
      </x:c>
      <x:c r="D310" s="21" t="n">
        <x:v>1</x:v>
      </x:c>
      <x:c r="E310" s="21" t="str">
        <x:v>Effect</x:v>
      </x:c>
      <x:c r="F310" s="21" t="str">
        <x:v>Использование заклинаний (следопыт)</x:v>
      </x:c>
      <x:c r="G310" s="21" t="str">
        <x:v>EFF-ranger-spellcasting · c4d0a9b1-90e8-49d4-8201-fc0aff542ae6</x:v>
      </x:c>
      <x:c r="H310" s="21" t="str">
        <x:v>Заговоры и подготовленные заклинания. | Activation: passive | Effects: [{"resolution":"auto","result":[{"ability":"wis","kind":"spellcasting_ability","role":"primary"},{"description":"Подготовка заклинаний следопыта. МДР — характеристика заклинаний.","kind":"narrative"}]},{"count":2,"grant":{"kind":"grant_spell","label":"prepared"},"id":"ranger_spells_l1","kind":"choice","options":{"filter":{"classes":["следопыт"],"levels":[1]},"source":"spell"},"prompt":"Выберите 2 заклинания 1 уровня для подготовки","resolution":"on_acquire"}]</x:v>
      </x:c>
      <x:c r="I310" s="21" t="str">
        <x:v>verified_mechanical</x:v>
      </x:c>
      <x:c r="J310" s="21" t="str">
        <x:v>Passed</x:v>
      </x:c>
      <x:c r="K310" s="21" t="str"/>
      <x:c r="L310"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311" ht="48" customHeight="1">
      <x:c r="A311" s="21" t="str">
        <x:v>Следопыт</x:v>
      </x:c>
      <x:c r="B311" s="21" t="str">
        <x:v>CLASS-ranger</x:v>
      </x:c>
      <x:c r="C311" s="21" t="str">
        <x:v>7eda481c-0474-4443-9b8a-be08c53564c2</x:v>
      </x:c>
      <x:c r="D311" s="21" t="n">
        <x:v>1</x:v>
      </x:c>
      <x:c r="E311" s="21" t="str">
        <x:v>Effect</x:v>
      </x:c>
      <x:c r="F311" s="21" t="str">
        <x:v>Избранный враг</x:v>
      </x:c>
      <x:c r="G311" s="21" t="str">
        <x:v>EFF-favored-enemy · e0bca40f-dd27-4e71-bdc6-2d6e7c36b305</x:v>
      </x:c>
      <x:c r="H311" s="21" t="str">
        <x:v>Специализация на типе существ. | Activation: passive | Effects: [{"count":1,"id":"ranger_favored_enemy","kind":"choice","options":{"items":[{"grants":[{"description":"Преимущество на проверки для выслеживания и знаний о зверях.","kind":"narrative"}],"id":"beasts","name":"Звери"},{"grants":[{"description":"Преимущество на проверки для выслеживания и знаний о гуманоидах.","kind":"narrative"}],"id":"humanoids","name":"Гуманоиды"},{"grants":[{"description":"Преимущество на проверки для выслеживания и знаний о монстрах.","kind":"narrative"}],"id":"monsters","name":"Монстры"}],"sour…</x:v>
      </x:c>
      <x:c r="I311" s="21" t="str">
        <x:v>verified_mechanical</x:v>
      </x:c>
      <x:c r="J311" s="21" t="str">
        <x:v>Passed</x:v>
      </x:c>
      <x:c r="K311" s="21" t="str"/>
      <x:c r="L31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12" ht="48" customHeight="1">
      <x:c r="A312" s="21" t="str">
        <x:v>Следопыт</x:v>
      </x:c>
      <x:c r="B312" s="21" t="str">
        <x:v>CLASS-ranger</x:v>
      </x:c>
      <x:c r="C312" s="21" t="str">
        <x:v>7eda481c-0474-4443-9b8a-be08c53564c2</x:v>
      </x:c>
      <x:c r="D312" s="21" t="n">
        <x:v>1</x:v>
      </x:c>
      <x:c r="E312" s="21" t="str">
        <x:v>Effect</x:v>
      </x:c>
      <x:c r="F312" s="21" t="str">
        <x:v>Искусное владение оружием</x:v>
      </x:c>
      <x:c r="G312" s="21" t="str">
        <x:v>EFF-weapon-mastery-2 · 58167888-c7a4-4fe3-9fd3-0aabfa8aed9a</x:v>
      </x:c>
      <x:c r="H312" s="21" t="str">
        <x:v>Вы можете пользоваться свойствами искусности двух видов оружия, которым вы владеете, по вашему выбору. Благодаря тренировкам вы можете пользоваться свойствами искусности выбранных вами видов оружия. Каждый раз, когда вы заканчиваете Долгий отдых, вы можете изменить выбор — на листе персонажа в блоке выборов. | Activation: passive | Effects: [{"resolution":"auto","result":[{"context":"in_play","count":2,"grant":{"kind":"weapon_mastery"},"id":"weapon-mastery","kind":"choice","options":{"source":"weapon"},"prompt":"Искусность: выберите 2 вида оружия"}]}]</x:v>
      </x:c>
      <x:c r="I312" s="21" t="str">
        <x:v>verified_mechanical</x:v>
      </x:c>
      <x:c r="J312" s="21" t="str">
        <x:v>Passed</x:v>
      </x:c>
      <x:c r="K312" s="21" t="str"/>
      <x:c r="L312"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All eight mastery primitives passed 33 mandatory scenarios; production exposes 25 strict weapon bindings with Cleave, Graze, Nick, Push, Sap, Slow, Topple, and Vex all reachable.</x:v>
      </x:c>
    </x:row>
    <x:row r="313" ht="48" customHeight="1">
      <x:c r="A313" s="21" t="str">
        <x:v>Следопыт</x:v>
      </x:c>
      <x:c r="B313" s="21" t="str">
        <x:v>CLASS-ranger</x:v>
      </x:c>
      <x:c r="C313" s="21" t="str">
        <x:v>7eda481c-0474-4443-9b8a-be08c53564c2</x:v>
      </x:c>
      <x:c r="D313" s="21" t="n">
        <x:v>2</x:v>
      </x:c>
      <x:c r="E313" s="21" t="str">
        <x:v>Effect</x:v>
      </x:c>
      <x:c r="F313" s="21" t="str">
        <x:v>Боевой стиль (следопыт)</x:v>
      </x:c>
      <x:c r="G313" s="21" t="str">
        <x:v>EFF-ranger-fighting-style · c2c21765-457c-465b-93b8-7808b62eb09d</x:v>
      </x:c>
      <x:c r="H313" s="21" t="str">
        <x:v>Специализация владения. | Activation: passive | Effects: [{"count":1,"grant":{"kind":"grant_feat"},"id":"ranger_fighting_style","kind":"choice","options":{"filter":"fighting_style","source":"feat"},"prompt":"Выберите боевой стиль","resolution":"on_acquire"}]</x:v>
      </x:c>
      <x:c r="I313" s="21" t="str">
        <x:v>verified_mechanical</x:v>
      </x:c>
      <x:c r="J313" s="21" t="str">
        <x:v>Not tested</x:v>
      </x:c>
      <x:c r="K313" s="21" t="str"/>
      <x:c r="L313" s="21" t="str"/>
    </x:row>
    <x:row r="314" ht="48" customHeight="1">
      <x:c r="A314" s="21" t="str">
        <x:v>Следопыт</x:v>
      </x:c>
      <x:c r="B314" s="21" t="str">
        <x:v>CLASS-ranger</x:v>
      </x:c>
      <x:c r="C314" s="21" t="str">
        <x:v>7eda481c-0474-4443-9b8a-be08c53564c2</x:v>
      </x:c>
      <x:c r="D314" s="21" t="n">
        <x:v>2</x:v>
      </x:c>
      <x:c r="E314" s="21" t="str">
        <x:v>Effect</x:v>
      </x:c>
      <x:c r="F314" s="21" t="str">
        <x:v>Друидический воин</x:v>
      </x:c>
      <x:c r="G314" s="21" t="str">
        <x:v>EFF-druidic-warrior · 8fd5da52-6345-4dd1-97f3-7781f5b6c9a8</x:v>
      </x:c>
      <x:c r="H314" s="21" t="str">
        <x:v>Метка охотника без ячеек. | Activation: passive | Effects: [{"resolution":"auto","result":[{"description":"Выучите заклинание «Метка охотника»; без ячеек — 1/длинный отдых.","kind":"narrative"}]}]</x:v>
      </x:c>
      <x:c r="I314" s="21" t="str">
        <x:v>verified_mechanical</x:v>
      </x:c>
      <x:c r="J314" s="21" t="str">
        <x:v>Not tested</x:v>
      </x:c>
      <x:c r="K314" s="21" t="str"/>
      <x:c r="L314" s="21" t="str"/>
    </x:row>
    <x:row r="315" ht="48" customHeight="1">
      <x:c r="A315" s="21" t="str">
        <x:v>Следопыт</x:v>
      </x:c>
      <x:c r="B315" s="21" t="str">
        <x:v>CLASS-ranger</x:v>
      </x:c>
      <x:c r="C315" s="21" t="str">
        <x:v>7eda481c-0474-4443-9b8a-be08c53564c2</x:v>
      </x:c>
      <x:c r="D315" s="21" t="n">
        <x:v>2</x:v>
      </x:c>
      <x:c r="E315" s="21" t="str">
        <x:v>Effect</x:v>
      </x:c>
      <x:c r="F315" s="21" t="str">
        <x:v>Заклинания (следопыт)</x:v>
      </x:c>
      <x:c r="G315" s="21" t="str">
        <x:v>caster-ranger-spells · cf703391-c2dd-4213-8766-18d9aaab70a2</x:v>
      </x:c>
      <x:c r="H315"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15" s="21" t="str">
        <x:v>verified_mechanical</x:v>
      </x:c>
      <x:c r="J315" s="21" t="str">
        <x:v>Not tested</x:v>
      </x:c>
      <x:c r="K315" s="21" t="str"/>
      <x:c r="L315" s="21" t="str"/>
    </x:row>
    <x:row r="316" ht="48" customHeight="1">
      <x:c r="A316" s="21" t="str">
        <x:v>Следопыт</x:v>
      </x:c>
      <x:c r="B316" s="21" t="str">
        <x:v>CLASS-ranger</x:v>
      </x:c>
      <x:c r="C316" s="21" t="str">
        <x:v>7eda481c-0474-4443-9b8a-be08c53564c2</x:v>
      </x:c>
      <x:c r="D316" s="21" t="n">
        <x:v>2</x:v>
      </x:c>
      <x:c r="E316" s="21" t="str">
        <x:v>Effect</x:v>
      </x:c>
      <x:c r="F316" s="21" t="str">
        <x:v>Ловкий исследователь</x:v>
      </x:c>
      <x:c r="G316" s="21" t="str">
        <x:v>EFF-deft-explorer · 8d0758b0-f96f-4fe7-891b-05a7a37d998b</x:v>
      </x:c>
      <x:c r="H316" s="21" t="str">
        <x:v>Язык или инструмент. | Activation: passive | Effects: [{"count":1,"grant":{"kind":"grant_proficiency","prof":"language"},"id":"ranger_deft_explorer","kind":"choice","options":{"filter":"all","source":"skill"},"prompt":"Ловкий исследователь: язык или инструмент","resolution":"on_acquire"}]</x:v>
      </x:c>
      <x:c r="I316" s="21" t="str">
        <x:v>verified_mechanical</x:v>
      </x:c>
      <x:c r="J316" s="21" t="str">
        <x:v>Not tested</x:v>
      </x:c>
      <x:c r="K316" s="21" t="str"/>
      <x:c r="L316" s="21" t="str"/>
    </x:row>
    <x:row r="317" ht="48" customHeight="1">
      <x:c r="A317" s="21" t="str">
        <x:v>Следопыт</x:v>
      </x:c>
      <x:c r="B317" s="21" t="str">
        <x:v>CLASS-ranger</x:v>
      </x:c>
      <x:c r="C317" s="21" t="str">
        <x:v>7eda481c-0474-4443-9b8a-be08c53564c2</x:v>
      </x:c>
      <x:c r="D317" s="21" t="n">
        <x:v>3</x:v>
      </x:c>
      <x:c r="E317" s="21" t="str">
        <x:v>Effect</x:v>
      </x:c>
      <x:c r="F317" s="21" t="str">
        <x:v>Заклинания (следопыт)</x:v>
      </x:c>
      <x:c r="G317" s="21" t="str">
        <x:v>caster-ranger-spells · cf703391-c2dd-4213-8766-18d9aaab70a2</x:v>
      </x:c>
      <x:c r="H317"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17" s="21" t="str">
        <x:v>verified_mechanical</x:v>
      </x:c>
      <x:c r="J317" s="21" t="str">
        <x:v>Not tested</x:v>
      </x:c>
      <x:c r="K317" s="21" t="str"/>
      <x:c r="L317" s="21" t="str"/>
    </x:row>
    <x:row r="318" ht="48" customHeight="1">
      <x:c r="A318" s="21" t="str">
        <x:v>Следопыт</x:v>
      </x:c>
      <x:c r="B318" s="21" t="str">
        <x:v>CLASS-ranger</x:v>
      </x:c>
      <x:c r="C318" s="21" t="str">
        <x:v>7eda481c-0474-4443-9b8a-be08c53564c2</x:v>
      </x:c>
      <x:c r="D318" s="21" t="n">
        <x:v>4</x:v>
      </x:c>
      <x:c r="E318" s="21" t="str">
        <x:v>Effect</x:v>
      </x:c>
      <x:c r="F318" s="21" t="str">
        <x:v>Получение черты</x:v>
      </x:c>
      <x:c r="G318" s="21" t="str">
        <x:v>pf_1 · 5dbd9afb-b125-4038-9d51-54819757c777</x:v>
      </x:c>
      <x:c r="H318"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318" s="21" t="str">
        <x:v>verified_mechanical</x:v>
      </x:c>
      <x:c r="J318" s="21" t="str">
        <x:v>Not tested</x:v>
      </x:c>
      <x:c r="K318" s="21" t="str"/>
      <x:c r="L318" s="21" t="str"/>
    </x:row>
    <x:row r="319" ht="48" customHeight="1">
      <x:c r="A319" s="21" t="str">
        <x:v>Следопыт</x:v>
      </x:c>
      <x:c r="B319" s="21" t="str">
        <x:v>CLASS-ranger</x:v>
      </x:c>
      <x:c r="C319" s="21" t="str">
        <x:v>7eda481c-0474-4443-9b8a-be08c53564c2</x:v>
      </x:c>
      <x:c r="D319" s="21" t="n">
        <x:v>4</x:v>
      </x:c>
      <x:c r="E319" s="21" t="str">
        <x:v>Effect</x:v>
      </x:c>
      <x:c r="F319" s="21" t="str">
        <x:v>Заклинания (следопыт)</x:v>
      </x:c>
      <x:c r="G319" s="21" t="str">
        <x:v>caster-ranger-spells · cf703391-c2dd-4213-8766-18d9aaab70a2</x:v>
      </x:c>
      <x:c r="H319"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19" s="21" t="str">
        <x:v>verified_mechanical</x:v>
      </x:c>
      <x:c r="J319" s="21" t="str">
        <x:v>Not tested</x:v>
      </x:c>
      <x:c r="K319" s="21" t="str"/>
      <x:c r="L319" s="21" t="str"/>
    </x:row>
    <x:row r="320" ht="48" customHeight="1">
      <x:c r="A320" s="21" t="str">
        <x:v>Следопыт</x:v>
      </x:c>
      <x:c r="B320" s="21" t="str">
        <x:v>CLASS-ranger</x:v>
      </x:c>
      <x:c r="C320" s="21" t="str">
        <x:v>7eda481c-0474-4443-9b8a-be08c53564c2</x:v>
      </x:c>
      <x:c r="D320" s="21" t="n">
        <x:v>4</x:v>
      </x:c>
      <x:c r="E320" s="21" t="str">
        <x:v>Effect</x:v>
      </x:c>
      <x:c r="F320" s="21" t="str">
        <x:v>Искусное владение оружием: ещё один вид</x:v>
      </x:c>
      <x:c r="G320" s="21" t="str">
        <x:v>EFF-weapon-mastery-plus-4 · 98303d8c-be14-434a-b9e5-8ae0355bc2ac</x:v>
      </x:c>
      <x:c r="H320" s="21" t="str">
        <x:v>Вы можете пользоваться свойством искусности ещё одного вида оружия (рост по таблице класса на 4-м уровне). | Activation: passive | Effects: [{"resolution":"auto","result":[{"context":"in_play","count":1,"grant":{"kind":"weapon_mastery"},"id":"weapon-mastery","kind":"choice","options":{"source":"weapon"},"prompt":"Искусность: выберите ещё один вид оружия"}]}]</x:v>
      </x:c>
      <x:c r="I320" s="21" t="str">
        <x:v>verified_mechanical</x:v>
      </x:c>
      <x:c r="J320" s="21" t="str">
        <x:v>Not tested</x:v>
      </x:c>
      <x:c r="K320" s="21" t="str"/>
      <x:c r="L320" s="21" t="str"/>
    </x:row>
    <x:row r="321" ht="48" customHeight="1">
      <x:c r="A321" s="21" t="str">
        <x:v>Следопыт</x:v>
      </x:c>
      <x:c r="B321" s="21" t="str">
        <x:v>CLASS-ranger</x:v>
      </x:c>
      <x:c r="C321" s="21" t="str">
        <x:v>7eda481c-0474-4443-9b8a-be08c53564c2</x:v>
      </x:c>
      <x:c r="D321" s="21" t="n">
        <x:v>5</x:v>
      </x:c>
      <x:c r="E321" s="21" t="str">
        <x:v>Effect</x:v>
      </x:c>
      <x:c r="F321" s="21" t="str">
        <x:v>Заклинания (следопыт)</x:v>
      </x:c>
      <x:c r="G321" s="21" t="str">
        <x:v>caster-ranger-spells · cf703391-c2dd-4213-8766-18d9aaab70a2</x:v>
      </x:c>
      <x:c r="H321"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1" s="21" t="str">
        <x:v>verified_mechanical</x:v>
      </x:c>
      <x:c r="J321" s="21" t="str">
        <x:v>Not tested</x:v>
      </x:c>
      <x:c r="K321" s="21" t="str"/>
      <x:c r="L321" s="21" t="str"/>
    </x:row>
    <x:row r="322" ht="48" customHeight="1">
      <x:c r="A322" s="21" t="str">
        <x:v>Следопыт</x:v>
      </x:c>
      <x:c r="B322" s="21" t="str">
        <x:v>CLASS-ranger</x:v>
      </x:c>
      <x:c r="C322" s="21" t="str">
        <x:v>7eda481c-0474-4443-9b8a-be08c53564c2</x:v>
      </x:c>
      <x:c r="D322" s="21" t="n">
        <x:v>6</x:v>
      </x:c>
      <x:c r="E322" s="21" t="str">
        <x:v>Effect</x:v>
      </x:c>
      <x:c r="F322" s="21" t="str">
        <x:v>Заклинания (следопыт)</x:v>
      </x:c>
      <x:c r="G322" s="21" t="str">
        <x:v>caster-ranger-spells · cf703391-c2dd-4213-8766-18d9aaab70a2</x:v>
      </x:c>
      <x:c r="H322"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2" s="21" t="str">
        <x:v>verified_mechanical</x:v>
      </x:c>
      <x:c r="J322" s="21" t="str">
        <x:v>Not tested</x:v>
      </x:c>
      <x:c r="K322" s="21" t="str"/>
      <x:c r="L322" s="21" t="str"/>
    </x:row>
    <x:row r="323" ht="48" customHeight="1">
      <x:c r="A323" s="21" t="str">
        <x:v>Следопыт</x:v>
      </x:c>
      <x:c r="B323" s="21" t="str">
        <x:v>CLASS-ranger</x:v>
      </x:c>
      <x:c r="C323" s="21" t="str">
        <x:v>7eda481c-0474-4443-9b8a-be08c53564c2</x:v>
      </x:c>
      <x:c r="D323" s="21" t="n">
        <x:v>7</x:v>
      </x:c>
      <x:c r="E323" s="21" t="str">
        <x:v>Effect</x:v>
      </x:c>
      <x:c r="F323" s="21" t="str">
        <x:v>Заклинания (следопыт)</x:v>
      </x:c>
      <x:c r="G323" s="21" t="str">
        <x:v>caster-ranger-spells · cf703391-c2dd-4213-8766-18d9aaab70a2</x:v>
      </x:c>
      <x:c r="H323"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3" s="21" t="str">
        <x:v>verified_mechanical</x:v>
      </x:c>
      <x:c r="J323" s="21" t="str">
        <x:v>Not tested</x:v>
      </x:c>
      <x:c r="K323" s="21" t="str"/>
      <x:c r="L323" s="21" t="str"/>
    </x:row>
    <x:row r="324" ht="48" customHeight="1">
      <x:c r="A324" s="21" t="str">
        <x:v>Следопыт</x:v>
      </x:c>
      <x:c r="B324" s="21" t="str">
        <x:v>CLASS-ranger</x:v>
      </x:c>
      <x:c r="C324" s="21" t="str">
        <x:v>7eda481c-0474-4443-9b8a-be08c53564c2</x:v>
      </x:c>
      <x:c r="D324" s="21" t="n">
        <x:v>8</x:v>
      </x:c>
      <x:c r="E324" s="21" t="str">
        <x:v>Effect</x:v>
      </x:c>
      <x:c r="F324" s="21" t="str">
        <x:v>Получение черты · слот 2</x:v>
      </x:c>
      <x:c r="G324" s="21" t="str">
        <x:v>pf_2 · 55689cd6-f67f-4368-8a96-53bc134fd78b</x:v>
      </x:c>
      <x:c r="H324" s="21" t="str">
        <x:v>Получение черты · слот 2 | Activation: passive | Effects: [{"grant":{"kind":"grant_feat"},"id":"gain_feat","kind":"choice","options":{"categories":["origin","general"],"source":"feat"},"prompt":"Получение черты"}]</x:v>
      </x:c>
      <x:c r="I324" s="21" t="str">
        <x:v>verified_mechanical</x:v>
      </x:c>
      <x:c r="J324" s="21" t="str">
        <x:v>Not tested</x:v>
      </x:c>
      <x:c r="K324" s="21" t="str"/>
      <x:c r="L324" s="21" t="str"/>
    </x:row>
    <x:row r="325" ht="48" customHeight="1">
      <x:c r="A325" s="21" t="str">
        <x:v>Следопыт</x:v>
      </x:c>
      <x:c r="B325" s="21" t="str">
        <x:v>CLASS-ranger</x:v>
      </x:c>
      <x:c r="C325" s="21" t="str">
        <x:v>7eda481c-0474-4443-9b8a-be08c53564c2</x:v>
      </x:c>
      <x:c r="D325" s="21" t="n">
        <x:v>8</x:v>
      </x:c>
      <x:c r="E325" s="21" t="str">
        <x:v>Effect</x:v>
      </x:c>
      <x:c r="F325" s="21" t="str">
        <x:v>Заклинания (следопыт)</x:v>
      </x:c>
      <x:c r="G325" s="21" t="str">
        <x:v>caster-ranger-spells · cf703391-c2dd-4213-8766-18d9aaab70a2</x:v>
      </x:c>
      <x:c r="H325"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5" s="21" t="str">
        <x:v>verified_mechanical</x:v>
      </x:c>
      <x:c r="J325" s="21" t="str">
        <x:v>Not tested</x:v>
      </x:c>
      <x:c r="K325" s="21" t="str"/>
      <x:c r="L325" s="21" t="str"/>
    </x:row>
    <x:row r="326" ht="48" customHeight="1">
      <x:c r="A326" s="21" t="str">
        <x:v>Следопыт</x:v>
      </x:c>
      <x:c r="B326" s="21" t="str">
        <x:v>CLASS-ranger</x:v>
      </x:c>
      <x:c r="C326" s="21" t="str">
        <x:v>7eda481c-0474-4443-9b8a-be08c53564c2</x:v>
      </x:c>
      <x:c r="D326" s="21" t="n">
        <x:v>9</x:v>
      </x:c>
      <x:c r="E326" s="21" t="str">
        <x:v>Effect</x:v>
      </x:c>
      <x:c r="F326" s="21" t="str">
        <x:v>Заклинания (следопыт)</x:v>
      </x:c>
      <x:c r="G326" s="21" t="str">
        <x:v>caster-ranger-spells · cf703391-c2dd-4213-8766-18d9aaab70a2</x:v>
      </x:c>
      <x:c r="H326"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6" s="21" t="str">
        <x:v>verified_mechanical</x:v>
      </x:c>
      <x:c r="J326" s="21" t="str">
        <x:v>Not tested</x:v>
      </x:c>
      <x:c r="K326" s="21" t="str"/>
      <x:c r="L326" s="21" t="str"/>
    </x:row>
    <x:row r="327" ht="48" customHeight="1">
      <x:c r="A327" s="21" t="str">
        <x:v>Следопыт</x:v>
      </x:c>
      <x:c r="B327" s="21" t="str">
        <x:v>CLASS-ranger</x:v>
      </x:c>
      <x:c r="C327" s="21" t="str">
        <x:v>7eda481c-0474-4443-9b8a-be08c53564c2</x:v>
      </x:c>
      <x:c r="D327" s="21" t="n">
        <x:v>10</x:v>
      </x:c>
      <x:c r="E327" s="21" t="str">
        <x:v>Effect</x:v>
      </x:c>
      <x:c r="F327" s="21" t="str">
        <x:v>Заклинания (следопыт)</x:v>
      </x:c>
      <x:c r="G327" s="21" t="str">
        <x:v>caster-ranger-spells · cf703391-c2dd-4213-8766-18d9aaab70a2</x:v>
      </x:c>
      <x:c r="H327"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7" s="21" t="str">
        <x:v>verified_mechanical</x:v>
      </x:c>
      <x:c r="J327" s="21" t="str">
        <x:v>Not tested</x:v>
      </x:c>
      <x:c r="K327" s="21" t="str"/>
      <x:c r="L327" s="21" t="str"/>
    </x:row>
    <x:row r="328" ht="48" customHeight="1">
      <x:c r="A328" s="21" t="str">
        <x:v>Следопыт</x:v>
      </x:c>
      <x:c r="B328" s="21" t="str">
        <x:v>CLASS-ranger</x:v>
      </x:c>
      <x:c r="C328" s="21" t="str">
        <x:v>7eda481c-0474-4443-9b8a-be08c53564c2</x:v>
      </x:c>
      <x:c r="D328" s="21" t="n">
        <x:v>11</x:v>
      </x:c>
      <x:c r="E328" s="21" t="str">
        <x:v>Effect</x:v>
      </x:c>
      <x:c r="F328" s="21" t="str">
        <x:v>Заклинания (следопыт)</x:v>
      </x:c>
      <x:c r="G328" s="21" t="str">
        <x:v>caster-ranger-spells · cf703391-c2dd-4213-8766-18d9aaab70a2</x:v>
      </x:c>
      <x:c r="H328"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28" s="21" t="str">
        <x:v>verified_mechanical</x:v>
      </x:c>
      <x:c r="J328" s="21" t="str">
        <x:v>Not tested</x:v>
      </x:c>
      <x:c r="K328" s="21" t="str"/>
      <x:c r="L328" s="21" t="str"/>
    </x:row>
    <x:row r="329" ht="48" customHeight="1">
      <x:c r="A329" s="21" t="str">
        <x:v>Следопыт</x:v>
      </x:c>
      <x:c r="B329" s="21" t="str">
        <x:v>CLASS-ranger</x:v>
      </x:c>
      <x:c r="C329" s="21" t="str">
        <x:v>7eda481c-0474-4443-9b8a-be08c53564c2</x:v>
      </x:c>
      <x:c r="D329" s="21" t="n">
        <x:v>12</x:v>
      </x:c>
      <x:c r="E329" s="21" t="str">
        <x:v>Effect</x:v>
      </x:c>
      <x:c r="F329" s="21" t="str">
        <x:v>Получение черты · слот 3</x:v>
      </x:c>
      <x:c r="G329" s="21" t="str">
        <x:v>pf_3 · 6ec4b5ab-4abc-47af-b45a-560ca2a1bb07</x:v>
      </x:c>
      <x:c r="H329" s="21" t="str">
        <x:v>Получение черты · слот 3 | Activation: passive | Effects: [{"grant":{"kind":"grant_feat"},"id":"gain_feat","kind":"choice","options":{"categories":["origin","general"],"source":"feat"},"prompt":"Получение черты"}]</x:v>
      </x:c>
      <x:c r="I329" s="21" t="str">
        <x:v>verified_mechanical</x:v>
      </x:c>
      <x:c r="J329" s="21" t="str">
        <x:v>Not tested</x:v>
      </x:c>
      <x:c r="K329" s="21" t="str"/>
      <x:c r="L329" s="21" t="str"/>
    </x:row>
    <x:row r="330" ht="48" customHeight="1">
      <x:c r="A330" s="21" t="str">
        <x:v>Следопыт</x:v>
      </x:c>
      <x:c r="B330" s="21" t="str">
        <x:v>CLASS-ranger</x:v>
      </x:c>
      <x:c r="C330" s="21" t="str">
        <x:v>7eda481c-0474-4443-9b8a-be08c53564c2</x:v>
      </x:c>
      <x:c r="D330" s="21" t="n">
        <x:v>12</x:v>
      </x:c>
      <x:c r="E330" s="21" t="str">
        <x:v>Effect</x:v>
      </x:c>
      <x:c r="F330" s="21" t="str">
        <x:v>Заклинания (следопыт)</x:v>
      </x:c>
      <x:c r="G330" s="21" t="str">
        <x:v>caster-ranger-spells · cf703391-c2dd-4213-8766-18d9aaab70a2</x:v>
      </x:c>
      <x:c r="H330"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0" s="21" t="str">
        <x:v>verified_mechanical</x:v>
      </x:c>
      <x:c r="J330" s="21" t="str">
        <x:v>Not tested</x:v>
      </x:c>
      <x:c r="K330" s="21" t="str"/>
      <x:c r="L330" s="21" t="str"/>
    </x:row>
    <x:row r="331" ht="48" customHeight="1">
      <x:c r="A331" s="21" t="str">
        <x:v>Следопыт</x:v>
      </x:c>
      <x:c r="B331" s="21" t="str">
        <x:v>CLASS-ranger</x:v>
      </x:c>
      <x:c r="C331" s="21" t="str">
        <x:v>7eda481c-0474-4443-9b8a-be08c53564c2</x:v>
      </x:c>
      <x:c r="D331" s="21" t="n">
        <x:v>13</x:v>
      </x:c>
      <x:c r="E331" s="21" t="str">
        <x:v>Effect</x:v>
      </x:c>
      <x:c r="F331" s="21" t="str">
        <x:v>Заклинания (следопыт)</x:v>
      </x:c>
      <x:c r="G331" s="21" t="str">
        <x:v>caster-ranger-spells · cf703391-c2dd-4213-8766-18d9aaab70a2</x:v>
      </x:c>
      <x:c r="H331"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1" s="21" t="str">
        <x:v>verified_mechanical</x:v>
      </x:c>
      <x:c r="J331" s="21" t="str">
        <x:v>Not tested</x:v>
      </x:c>
      <x:c r="K331" s="21" t="str"/>
      <x:c r="L331" s="21" t="str"/>
    </x:row>
    <x:row r="332" ht="48" customHeight="1">
      <x:c r="A332" s="21" t="str">
        <x:v>Следопыт</x:v>
      </x:c>
      <x:c r="B332" s="21" t="str">
        <x:v>CLASS-ranger</x:v>
      </x:c>
      <x:c r="C332" s="21" t="str">
        <x:v>7eda481c-0474-4443-9b8a-be08c53564c2</x:v>
      </x:c>
      <x:c r="D332" s="21" t="n">
        <x:v>14</x:v>
      </x:c>
      <x:c r="E332" s="21" t="str">
        <x:v>Effect</x:v>
      </x:c>
      <x:c r="F332" s="21" t="str">
        <x:v>Заклинания (следопыт)</x:v>
      </x:c>
      <x:c r="G332" s="21" t="str">
        <x:v>caster-ranger-spells · cf703391-c2dd-4213-8766-18d9aaab70a2</x:v>
      </x:c>
      <x:c r="H332"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2" s="21" t="str">
        <x:v>verified_mechanical</x:v>
      </x:c>
      <x:c r="J332" s="21" t="str">
        <x:v>Not tested</x:v>
      </x:c>
      <x:c r="K332" s="21" t="str"/>
      <x:c r="L332" s="21" t="str"/>
    </x:row>
    <x:row r="333" ht="48" customHeight="1">
      <x:c r="A333" s="21" t="str">
        <x:v>Следопыт</x:v>
      </x:c>
      <x:c r="B333" s="21" t="str">
        <x:v>CLASS-ranger</x:v>
      </x:c>
      <x:c r="C333" s="21" t="str">
        <x:v>7eda481c-0474-4443-9b8a-be08c53564c2</x:v>
      </x:c>
      <x:c r="D333" s="21" t="n">
        <x:v>15</x:v>
      </x:c>
      <x:c r="E333" s="21" t="str">
        <x:v>Effect</x:v>
      </x:c>
      <x:c r="F333" s="21" t="str">
        <x:v>Заклинания (следопыт)</x:v>
      </x:c>
      <x:c r="G333" s="21" t="str">
        <x:v>caster-ranger-spells · cf703391-c2dd-4213-8766-18d9aaab70a2</x:v>
      </x:c>
      <x:c r="H333"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3" s="21" t="str">
        <x:v>verified_mechanical</x:v>
      </x:c>
      <x:c r="J333" s="21" t="str">
        <x:v>Not tested</x:v>
      </x:c>
      <x:c r="K333" s="21" t="str"/>
      <x:c r="L333" s="21" t="str"/>
    </x:row>
    <x:row r="334" ht="48" customHeight="1">
      <x:c r="A334" s="21" t="str">
        <x:v>Следопыт</x:v>
      </x:c>
      <x:c r="B334" s="21" t="str">
        <x:v>CLASS-ranger</x:v>
      </x:c>
      <x:c r="C334" s="21" t="str">
        <x:v>7eda481c-0474-4443-9b8a-be08c53564c2</x:v>
      </x:c>
      <x:c r="D334" s="21" t="n">
        <x:v>16</x:v>
      </x:c>
      <x:c r="E334" s="21" t="str">
        <x:v>Effect</x:v>
      </x:c>
      <x:c r="F334" s="21" t="str">
        <x:v>Получение черты · слот 4</x:v>
      </x:c>
      <x:c r="G334" s="21" t="str">
        <x:v>pf_4 · f3a0400f-579f-4a68-8105-cfad1d862357</x:v>
      </x:c>
      <x:c r="H334" s="21" t="str">
        <x:v>Получение черты · слот 4 | Activation: passive | Effects: [{"grant":{"kind":"grant_feat"},"id":"gain_feat","kind":"choice","options":{"categories":["origin","general"],"source":"feat"},"prompt":"Получение черты"}]</x:v>
      </x:c>
      <x:c r="I334" s="21" t="str">
        <x:v>verified_mechanical</x:v>
      </x:c>
      <x:c r="J334" s="21" t="str">
        <x:v>Not tested</x:v>
      </x:c>
      <x:c r="K334" s="21" t="str"/>
      <x:c r="L334" s="21" t="str"/>
    </x:row>
    <x:row r="335" ht="48" customHeight="1">
      <x:c r="A335" s="21" t="str">
        <x:v>Следопыт</x:v>
      </x:c>
      <x:c r="B335" s="21" t="str">
        <x:v>CLASS-ranger</x:v>
      </x:c>
      <x:c r="C335" s="21" t="str">
        <x:v>7eda481c-0474-4443-9b8a-be08c53564c2</x:v>
      </x:c>
      <x:c r="D335" s="21" t="n">
        <x:v>16</x:v>
      </x:c>
      <x:c r="E335" s="21" t="str">
        <x:v>Effect</x:v>
      </x:c>
      <x:c r="F335" s="21" t="str">
        <x:v>Заклинания (следопыт)</x:v>
      </x:c>
      <x:c r="G335" s="21" t="str">
        <x:v>caster-ranger-spells · cf703391-c2dd-4213-8766-18d9aaab70a2</x:v>
      </x:c>
      <x:c r="H335"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5" s="21" t="str">
        <x:v>verified_mechanical</x:v>
      </x:c>
      <x:c r="J335" s="21" t="str">
        <x:v>Not tested</x:v>
      </x:c>
      <x:c r="K335" s="21" t="str"/>
      <x:c r="L335" s="21" t="str"/>
    </x:row>
    <x:row r="336" ht="48" customHeight="1">
      <x:c r="A336" s="21" t="str">
        <x:v>Следопыт</x:v>
      </x:c>
      <x:c r="B336" s="21" t="str">
        <x:v>CLASS-ranger</x:v>
      </x:c>
      <x:c r="C336" s="21" t="str">
        <x:v>7eda481c-0474-4443-9b8a-be08c53564c2</x:v>
      </x:c>
      <x:c r="D336" s="21" t="n">
        <x:v>17</x:v>
      </x:c>
      <x:c r="E336" s="21" t="str">
        <x:v>Effect</x:v>
      </x:c>
      <x:c r="F336" s="21" t="str">
        <x:v>Заклинания (следопыт)</x:v>
      </x:c>
      <x:c r="G336" s="21" t="str">
        <x:v>caster-ranger-spells · cf703391-c2dd-4213-8766-18d9aaab70a2</x:v>
      </x:c>
      <x:c r="H336"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6" s="21" t="str">
        <x:v>verified_mechanical</x:v>
      </x:c>
      <x:c r="J336" s="21" t="str">
        <x:v>Not tested</x:v>
      </x:c>
      <x:c r="K336" s="21" t="str"/>
      <x:c r="L336" s="21" t="str"/>
    </x:row>
    <x:row r="337" ht="48" customHeight="1">
      <x:c r="A337" s="21" t="str">
        <x:v>Следопыт</x:v>
      </x:c>
      <x:c r="B337" s="21" t="str">
        <x:v>CLASS-ranger</x:v>
      </x:c>
      <x:c r="C337" s="21" t="str">
        <x:v>7eda481c-0474-4443-9b8a-be08c53564c2</x:v>
      </x:c>
      <x:c r="D337" s="21" t="n">
        <x:v>18</x:v>
      </x:c>
      <x:c r="E337" s="21" t="str">
        <x:v>Effect</x:v>
      </x:c>
      <x:c r="F337" s="21" t="str">
        <x:v>Заклинания (следопыт)</x:v>
      </x:c>
      <x:c r="G337" s="21" t="str">
        <x:v>caster-ranger-spells · cf703391-c2dd-4213-8766-18d9aaab70a2</x:v>
      </x:c>
      <x:c r="H337"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7" s="21" t="str">
        <x:v>verified_mechanical</x:v>
      </x:c>
      <x:c r="J337" s="21" t="str">
        <x:v>Not tested</x:v>
      </x:c>
      <x:c r="K337" s="21" t="str"/>
      <x:c r="L337" s="21" t="str"/>
    </x:row>
    <x:row r="338" ht="48" customHeight="1">
      <x:c r="A338" s="21" t="str">
        <x:v>Следопыт</x:v>
      </x:c>
      <x:c r="B338" s="21" t="str">
        <x:v>CLASS-ranger</x:v>
      </x:c>
      <x:c r="C338" s="21" t="str">
        <x:v>7eda481c-0474-4443-9b8a-be08c53564c2</x:v>
      </x:c>
      <x:c r="D338" s="21" t="n">
        <x:v>19</x:v>
      </x:c>
      <x:c r="E338" s="21" t="str">
        <x:v>Effect</x:v>
      </x:c>
      <x:c r="F338" s="21" t="str">
        <x:v>Получение черты · слот 5</x:v>
      </x:c>
      <x:c r="G338" s="21" t="str">
        <x:v>pf_5 · f5694b06-f2f8-40a7-8521-cc6bfe1e93c6</x:v>
      </x:c>
      <x:c r="H338" s="21" t="str">
        <x:v>Получение черты · слот 5 | Activation: passive | Effects: [{"grant":{"kind":"grant_feat"},"id":"gain_feat","kind":"choice","options":{"categories":["origin","general"],"source":"feat"},"prompt":"Получение черты"}]</x:v>
      </x:c>
      <x:c r="I338" s="21" t="str">
        <x:v>verified_mechanical</x:v>
      </x:c>
      <x:c r="J338" s="21" t="str">
        <x:v>Not tested</x:v>
      </x:c>
      <x:c r="K338" s="21" t="str"/>
      <x:c r="L338" s="21" t="str"/>
    </x:row>
    <x:row r="339" ht="48" customHeight="1">
      <x:c r="A339" s="21" t="str">
        <x:v>Следопыт</x:v>
      </x:c>
      <x:c r="B339" s="21" t="str">
        <x:v>CLASS-ranger</x:v>
      </x:c>
      <x:c r="C339" s="21" t="str">
        <x:v>7eda481c-0474-4443-9b8a-be08c53564c2</x:v>
      </x:c>
      <x:c r="D339" s="21" t="n">
        <x:v>19</x:v>
      </x:c>
      <x:c r="E339" s="21" t="str">
        <x:v>Effect</x:v>
      </x:c>
      <x:c r="F339" s="21" t="str">
        <x:v>Заклинания (следопыт)</x:v>
      </x:c>
      <x:c r="G339" s="21" t="str">
        <x:v>caster-ranger-spells · cf703391-c2dd-4213-8766-18d9aaab70a2</x:v>
      </x:c>
      <x:c r="H339"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39" s="21" t="str">
        <x:v>verified_mechanical</x:v>
      </x:c>
      <x:c r="J339" s="21" t="str">
        <x:v>Not tested</x:v>
      </x:c>
      <x:c r="K339" s="21" t="str"/>
      <x:c r="L339" s="21" t="str"/>
    </x:row>
    <x:row r="340" ht="48" customHeight="1">
      <x:c r="A340" s="21" t="str">
        <x:v>Следопыт</x:v>
      </x:c>
      <x:c r="B340" s="21" t="str">
        <x:v>CLASS-ranger</x:v>
      </x:c>
      <x:c r="C340" s="21" t="str">
        <x:v>7eda481c-0474-4443-9b8a-be08c53564c2</x:v>
      </x:c>
      <x:c r="D340" s="21" t="n">
        <x:v>20</x:v>
      </x:c>
      <x:c r="E340" s="21" t="str">
        <x:v>Effect</x:v>
      </x:c>
      <x:c r="F340" s="21" t="str">
        <x:v>Заклинания (следопыт)</x:v>
      </x:c>
      <x:c r="G340" s="21" t="str">
        <x:v>caster-ranger-spells · cf703391-c2dd-4213-8766-18d9aaab70a2</x:v>
      </x:c>
      <x:c r="H340" s="21" t="str">
        <x:v>Выбор заклинаний следопыта на уровне (доступные круги). Повторяемый: по одному на уровень. | Activation: passive | Effects: [{"resolution":"auto","result":[{"count":1,"grant":{"kind":"grant_spell","label":"known"},"id":"ranger_spells_recurring","kind":"choice","options":{"filter":{"classes":["следопыт"],"only_available_slots":true},"source":"spell"},"prompt":"Выберите заклинание","resolution":"on_acquire"}]}]</x:v>
      </x:c>
      <x:c r="I340" s="21" t="str">
        <x:v>verified_mechanical</x:v>
      </x:c>
      <x:c r="J340" s="21" t="str">
        <x:v>Not tested</x:v>
      </x:c>
      <x:c r="K340" s="21" t="str"/>
      <x:c r="L340" s="21" t="str"/>
    </x:row>
    <x:row r="341" ht="48" customHeight="1">
      <x:c r="A341" s="21" t="str">
        <x:v>Чародей</x:v>
      </x:c>
      <x:c r="B341" s="21" t="str">
        <x:v>CLASS-sorcerer</x:v>
      </x:c>
      <x:c r="C341" s="21" t="str">
        <x:v>66a58227-41e6-4c56-b548-1253d98f6f09</x:v>
      </x:c>
      <x:c r="D341" s="21" t="n">
        <x:v>1</x:v>
      </x:c>
      <x:c r="E341" s="21" t="str">
        <x:v>Class chassis</x:v>
      </x:c>
      <x:c r="F341" s="21" t="str">
        <x:v>Чародей</x:v>
      </x:c>
      <x:c r="G341" s="21" t="str">
        <x:v>66a58227-41e6-4c56-b548-1253d98f6f09</x:v>
      </x:c>
      <x:c r="H341" s="21" t="str">
        <x:v>Hit die d6; primary ["cha"]; saves ["con","cha"]; armor ; weapons ["simple"]; skills {"count":2,"options":["arcana","deception","insight","intimidation","persuasion","religion"]}. Носитель врождённой магии.</x:v>
      </x:c>
      <x:c r="I341" s="21" t="str">
        <x:v>verified_partial</x:v>
      </x:c>
      <x:c r="J341" s="21" t="str">
        <x:v>Passed</x:v>
      </x:c>
      <x:c r="K341" s="21" t="str"/>
      <x:c r="L341"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42" ht="48" customHeight="1">
      <x:c r="A342" s="21" t="str">
        <x:v>Чародей</x:v>
      </x:c>
      <x:c r="B342" s="21" t="str">
        <x:v>CLASS-sorcerer</x:v>
      </x:c>
      <x:c r="C342" s="21" t="str">
        <x:v>66a58227-41e6-4c56-b548-1253d98f6f09</x:v>
      </x:c>
      <x:c r="D342" s="21" t="n">
        <x:v>2</x:v>
      </x:c>
      <x:c r="E342" s="21" t="str">
        <x:v>Resource</x:v>
      </x:c>
      <x:c r="F342" s="21" t="str">
        <x:v>sorcery_points</x:v>
      </x:c>
      <x:c r="G342" s="21" t="str"/>
      <x:c r="H342" s="21" t="str">
        <x:v>{"count":"self_level","per":"long_rest"}</x:v>
      </x:c>
      <x:c r="I342" s="21" t="str">
        <x:v>verified_partial</x:v>
      </x:c>
      <x:c r="J342" s="21" t="str">
        <x:v>Not tested</x:v>
      </x:c>
      <x:c r="K342" s="21" t="str"/>
      <x:c r="L342" s="21" t="str">
        <x:v>Checklist inventory correction: sorcery_points first becomes available at class level 2; it is not part of the level-1 mini-MVP gate. Its Not tested status is intentionally preserved for the later-level phase.</x:v>
      </x:c>
    </x:row>
    <x:row r="343" ht="48" customHeight="1">
      <x:c r="A343" s="21" t="str">
        <x:v>Чародей</x:v>
      </x:c>
      <x:c r="B343" s="21" t="str">
        <x:v>CLASS-sorcerer</x:v>
      </x:c>
      <x:c r="C343" s="21" t="str">
        <x:v>66a58227-41e6-4c56-b548-1253d98f6f09</x:v>
      </x:c>
      <x:c r="D343" s="21" t="n">
        <x:v>1</x:v>
      </x:c>
      <x:c r="E343" s="21" t="str">
        <x:v>Resource</x:v>
      </x:c>
      <x:c r="F343" s="21" t="str">
        <x:v>spell_slot_1</x:v>
      </x:c>
      <x:c r="G343" s="21" t="str"/>
      <x:c r="H343" s="21" t="str">
        <x:v>{"by_level":{"1":2,"2":3,"3":4},"per":"long_rest"}</x:v>
      </x:c>
      <x:c r="I343" s="21" t="str">
        <x:v>verified_partial</x:v>
      </x:c>
      <x:c r="J343" s="21" t="str">
        <x:v>Passed</x:v>
      </x:c>
      <x:c r="K343" s="21" t="str"/>
      <x:c r="L343"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44" ht="48" customHeight="1">
      <x:c r="A344" s="21" t="str">
        <x:v>Чародей</x:v>
      </x:c>
      <x:c r="B344" s="21" t="str">
        <x:v>CLASS-sorcerer</x:v>
      </x:c>
      <x:c r="C344" s="21" t="str">
        <x:v>66a58227-41e6-4c56-b548-1253d98f6f09</x:v>
      </x:c>
      <x:c r="D344" s="21" t="n">
        <x:v>3</x:v>
      </x:c>
      <x:c r="E344" s="21" t="str">
        <x:v>Resource</x:v>
      </x:c>
      <x:c r="F344" s="21" t="str">
        <x:v>spell_slot_2</x:v>
      </x:c>
      <x:c r="G344" s="21" t="str"/>
      <x:c r="H344" s="21" t="str">
        <x:v>{"by_level":{"3":2,"4":3},"per":"long_rest"}</x:v>
      </x:c>
      <x:c r="I344" s="21" t="str">
        <x:v>verified_partial</x:v>
      </x:c>
      <x:c r="J344" s="21" t="str">
        <x:v>Not tested</x:v>
      </x:c>
      <x:c r="K344" s="21" t="str"/>
      <x:c r="L344" s="21" t="str">
        <x:v>Checklist inventory correction: spell_slot_2 first becomes available at class level 3; it is not part of the level-1 mini-MVP gate. Its Not tested status is intentionally preserved for the later-level phase.</x:v>
      </x:c>
    </x:row>
    <x:row r="345" ht="48" customHeight="1">
      <x:c r="A345" s="21" t="str">
        <x:v>Чародей</x:v>
      </x:c>
      <x:c r="B345" s="21" t="str">
        <x:v>CLASS-sorcerer</x:v>
      </x:c>
      <x:c r="C345" s="21" t="str">
        <x:v>66a58227-41e6-4c56-b548-1253d98f6f09</x:v>
      </x:c>
      <x:c r="D345" s="21" t="n">
        <x:v>5</x:v>
      </x:c>
      <x:c r="E345" s="21" t="str">
        <x:v>Resource</x:v>
      </x:c>
      <x:c r="F345" s="21" t="str">
        <x:v>spell_slot_3</x:v>
      </x:c>
      <x:c r="G345" s="21" t="str"/>
      <x:c r="H345" s="21" t="str">
        <x:v>{"by_level":{"5":2,"6":3},"per":"long_rest"}</x:v>
      </x:c>
      <x:c r="I345" s="21" t="str">
        <x:v>verified_partial</x:v>
      </x:c>
      <x:c r="J345" s="21" t="str">
        <x:v>Not tested</x:v>
      </x:c>
      <x:c r="K345" s="21" t="str"/>
      <x:c r="L345" s="21" t="str">
        <x:v>Checklist inventory correction: spell_slot_3 first becomes available at class level 5; it is not part of the level-1 mini-MVP gate. Its Not tested status is intentionally preserved for the later-level phase.</x:v>
      </x:c>
    </x:row>
    <x:row r="346" ht="48" customHeight="1">
      <x:c r="A346" s="21" t="str">
        <x:v>Чародей</x:v>
      </x:c>
      <x:c r="B346" s="21" t="str">
        <x:v>CLASS-sorcerer</x:v>
      </x:c>
      <x:c r="C346" s="21" t="str">
        <x:v>66a58227-41e6-4c56-b548-1253d98f6f09</x:v>
      </x:c>
      <x:c r="D346" s="21" t="n">
        <x:v>7</x:v>
      </x:c>
      <x:c r="E346" s="21" t="str">
        <x:v>Resource</x:v>
      </x:c>
      <x:c r="F346" s="21" t="str">
        <x:v>spell_slot_4</x:v>
      </x:c>
      <x:c r="G346" s="21" t="str"/>
      <x:c r="H346" s="21" t="str">
        <x:v>{"by_level":{"7":1,"8":2,"9":3},"per":"long_rest"}</x:v>
      </x:c>
      <x:c r="I346" s="21" t="str">
        <x:v>verified_partial</x:v>
      </x:c>
      <x:c r="J346" s="21" t="str">
        <x:v>Not tested</x:v>
      </x:c>
      <x:c r="K346" s="21" t="str"/>
      <x:c r="L346" s="21" t="str">
        <x:v>Checklist inventory correction: spell_slot_4 first becomes available at class level 7; it is not part of the level-1 mini-MVP gate. Its Not tested status is intentionally preserved for the later-level phase.</x:v>
      </x:c>
    </x:row>
    <x:row r="347" ht="48" customHeight="1">
      <x:c r="A347" s="21" t="str">
        <x:v>Чародей</x:v>
      </x:c>
      <x:c r="B347" s="21" t="str">
        <x:v>CLASS-sorcerer</x:v>
      </x:c>
      <x:c r="C347" s="21" t="str">
        <x:v>66a58227-41e6-4c56-b548-1253d98f6f09</x:v>
      </x:c>
      <x:c r="D347" s="21" t="n">
        <x:v>9</x:v>
      </x:c>
      <x:c r="E347" s="21" t="str">
        <x:v>Resource</x:v>
      </x:c>
      <x:c r="F347" s="21" t="str">
        <x:v>spell_slot_5</x:v>
      </x:c>
      <x:c r="G347" s="21" t="str"/>
      <x:c r="H347" s="21" t="str">
        <x:v>{"by_level":{"9":1,"10":2,"18":3},"per":"long_rest"}</x:v>
      </x:c>
      <x:c r="I347" s="21" t="str">
        <x:v>verified_partial</x:v>
      </x:c>
      <x:c r="J347" s="21" t="str">
        <x:v>Not tested</x:v>
      </x:c>
      <x:c r="K347" s="21" t="str"/>
      <x:c r="L347" s="21" t="str">
        <x:v>Checklist inventory correction: spell_slot_5 first becomes available at class level 9; it is not part of the level-1 mini-MVP gate. Its Not tested status is intentionally preserved for the later-level phase.</x:v>
      </x:c>
    </x:row>
    <x:row r="348" ht="48" customHeight="1">
      <x:c r="A348" s="21" t="str">
        <x:v>Чародей</x:v>
      </x:c>
      <x:c r="B348" s="21" t="str">
        <x:v>CLASS-sorcerer</x:v>
      </x:c>
      <x:c r="C348" s="21" t="str">
        <x:v>66a58227-41e6-4c56-b548-1253d98f6f09</x:v>
      </x:c>
      <x:c r="D348" s="21" t="n">
        <x:v>11</x:v>
      </x:c>
      <x:c r="E348" s="21" t="str">
        <x:v>Resource</x:v>
      </x:c>
      <x:c r="F348" s="21" t="str">
        <x:v>spell_slot_6</x:v>
      </x:c>
      <x:c r="G348" s="21" t="str"/>
      <x:c r="H348" s="21" t="str">
        <x:v>{"by_level":{"11":1,"19":2},"per":"long_rest"}</x:v>
      </x:c>
      <x:c r="I348" s="21" t="str">
        <x:v>verified_partial</x:v>
      </x:c>
      <x:c r="J348" s="21" t="str">
        <x:v>Not tested</x:v>
      </x:c>
      <x:c r="K348" s="21" t="str"/>
      <x:c r="L348" s="21" t="str">
        <x:v>Checklist inventory correction: spell_slot_6 first becomes available at class level 11; it is not part of the level-1 mini-MVP gate. Its Not tested status is intentionally preserved for the later-level phase.</x:v>
      </x:c>
    </x:row>
    <x:row r="349" ht="48" customHeight="1">
      <x:c r="A349" s="21" t="str">
        <x:v>Чародей</x:v>
      </x:c>
      <x:c r="B349" s="21" t="str">
        <x:v>CLASS-sorcerer</x:v>
      </x:c>
      <x:c r="C349" s="21" t="str">
        <x:v>66a58227-41e6-4c56-b548-1253d98f6f09</x:v>
      </x:c>
      <x:c r="D349" s="21" t="n">
        <x:v>13</x:v>
      </x:c>
      <x:c r="E349" s="21" t="str">
        <x:v>Resource</x:v>
      </x:c>
      <x:c r="F349" s="21" t="str">
        <x:v>spell_slot_7</x:v>
      </x:c>
      <x:c r="G349" s="21" t="str"/>
      <x:c r="H349" s="21" t="str">
        <x:v>{"by_level":{"13":1,"20":2},"per":"long_rest"}</x:v>
      </x:c>
      <x:c r="I349" s="21" t="str">
        <x:v>verified_partial</x:v>
      </x:c>
      <x:c r="J349" s="21" t="str">
        <x:v>Not tested</x:v>
      </x:c>
      <x:c r="K349" s="21" t="str"/>
      <x:c r="L349" s="21" t="str">
        <x:v>Checklist inventory correction: spell_slot_7 first becomes available at class level 13; it is not part of the level-1 mini-MVP gate. Its Not tested status is intentionally preserved for the later-level phase.</x:v>
      </x:c>
    </x:row>
    <x:row r="350" ht="48" customHeight="1">
      <x:c r="A350" s="21" t="str">
        <x:v>Чародей</x:v>
      </x:c>
      <x:c r="B350" s="21" t="str">
        <x:v>CLASS-sorcerer</x:v>
      </x:c>
      <x:c r="C350" s="21" t="str">
        <x:v>66a58227-41e6-4c56-b548-1253d98f6f09</x:v>
      </x:c>
      <x:c r="D350" s="21" t="n">
        <x:v>15</x:v>
      </x:c>
      <x:c r="E350" s="21" t="str">
        <x:v>Resource</x:v>
      </x:c>
      <x:c r="F350" s="21" t="str">
        <x:v>spell_slot_8</x:v>
      </x:c>
      <x:c r="G350" s="21" t="str"/>
      <x:c r="H350" s="21" t="str">
        <x:v>{"by_level":{"15":1},"per":"long_rest"}</x:v>
      </x:c>
      <x:c r="I350" s="21" t="str">
        <x:v>verified_partial</x:v>
      </x:c>
      <x:c r="J350" s="21" t="str">
        <x:v>Not tested</x:v>
      </x:c>
      <x:c r="K350" s="21" t="str"/>
      <x:c r="L350" s="21" t="str">
        <x:v>Checklist inventory correction: spell_slot_8 first becomes available at class level 15; it is not part of the level-1 mini-MVP gate. Its Not tested status is intentionally preserved for the later-level phase.</x:v>
      </x:c>
    </x:row>
    <x:row r="351" ht="48" customHeight="1">
      <x:c r="A351" s="21" t="str">
        <x:v>Чародей</x:v>
      </x:c>
      <x:c r="B351" s="21" t="str">
        <x:v>CLASS-sorcerer</x:v>
      </x:c>
      <x:c r="C351" s="21" t="str">
        <x:v>66a58227-41e6-4c56-b548-1253d98f6f09</x:v>
      </x:c>
      <x:c r="D351" s="21" t="n">
        <x:v>17</x:v>
      </x:c>
      <x:c r="E351" s="21" t="str">
        <x:v>Resource</x:v>
      </x:c>
      <x:c r="F351" s="21" t="str">
        <x:v>spell_slot_9</x:v>
      </x:c>
      <x:c r="G351" s="21" t="str"/>
      <x:c r="H351" s="21" t="str">
        <x:v>{"by_level":{"17":1},"per":"long_rest"}</x:v>
      </x:c>
      <x:c r="I351" s="21" t="str">
        <x:v>verified_partial</x:v>
      </x:c>
      <x:c r="J351" s="21" t="str">
        <x:v>Not tested</x:v>
      </x:c>
      <x:c r="K351" s="21" t="str"/>
      <x:c r="L351" s="21" t="str">
        <x:v>Checklist inventory correction: spell_slot_9 first becomes available at class level 17; it is not part of the level-1 mini-MVP gate. Its Not tested status is intentionally preserved for the later-level phase.</x:v>
      </x:c>
    </x:row>
    <x:row r="352" ht="48" customHeight="1">
      <x:c r="A352" s="21" t="str">
        <x:v>Чародей</x:v>
      </x:c>
      <x:c r="B352" s="21" t="str">
        <x:v>CLASS-sorcerer</x:v>
      </x:c>
      <x:c r="C352" s="21" t="str">
        <x:v>66a58227-41e6-4c56-b548-1253d98f6f09</x:v>
      </x:c>
      <x:c r="D352" s="21" t="n">
        <x:v>1</x:v>
      </x:c>
      <x:c r="E352" s="21" t="str">
        <x:v>Effect</x:v>
      </x:c>
      <x:c r="F352" s="21" t="str">
        <x:v>Использование заклинаний (чародей)</x:v>
      </x:c>
      <x:c r="G352" s="21" t="str">
        <x:v>EFF-sorcerer-spellcasting · 4ae38b98-12af-4829-85ef-2ce26b987357</x:v>
      </x:c>
      <x:c r="H352" s="21" t="str">
        <x:v>Известные заклинания чародея. | Activation: passive | Effects: [{"resolution":"auto","result":[{"ability":"cha","kind":"spellcasting_ability","role":"primary"},{"description":"Заклинания чародея известны (не готовятся). ХАР — характеристика.","kind":"narrative"}]},{"count":4,"grant":{"kind":"grant_spell","label":"cantrip"},"id":"sorcerer_cantrips","kind":"choice","options":{"filter":{"classes":["чародей"],"levels":[0]},"source":"spell"},"prompt":"Выберите 4 заговора чародея","resolution":"on_acquire"},{"count":2,"grant":{"kind":"grant_spell","label":"known"},"id":"sorcerer_sp…</x:v>
      </x:c>
      <x:c r="I352" s="21" t="str">
        <x:v>verified_mechanical</x:v>
      </x:c>
      <x:c r="J352" s="21" t="str">
        <x:v>Passed</x:v>
      </x:c>
      <x:c r="K352" s="21" t="str"/>
      <x:c r="L352"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 Spellcasting was checked only as a class grant/ability/resource contract; no cantrip or spell was rated.</x:v>
      </x:c>
    </x:row>
    <x:row r="353" ht="48" customHeight="1">
      <x:c r="A353" s="21" t="str">
        <x:v>Чародей</x:v>
      </x:c>
      <x:c r="B353" s="21" t="str">
        <x:v>CLASS-sorcerer</x:v>
      </x:c>
      <x:c r="C353" s="21" t="str">
        <x:v>66a58227-41e6-4c56-b548-1253d98f6f09</x:v>
      </x:c>
      <x:c r="D353" s="21" t="n">
        <x:v>1</x:v>
      </x:c>
      <x:c r="E353" s="21" t="str">
        <x:v>Effect</x:v>
      </x:c>
      <x:c r="F353" s="21" t="str">
        <x:v>Врождённое колдовство</x:v>
      </x:c>
      <x:c r="G353" s="21" t="str">
        <x:v>EFF-innate-sorcery · ccd35db1-b4fd-47af-91e2-971e1bb525c0</x:v>
      </x:c>
      <x:c r="H353" s="21" t="str">
        <x:v>Краткий буст магии. | Activation: active; cost bonus_action, self_uses | Targeting: {"actor_targets":false,"allowed_relations":["self"],"domain":"actor","max_targets":1,"min_targets":0,"range_ft":0,"requires_line_of_sight":false,"shape":"self"} | Effects: [{"resolution":"auto","result":[{"applies_to":{"filter":{"spellClass":"CLASS-sorcerer"},"roll":"spell_save_dc"},"duration":{"amount":10,"type":"rounds"},"kind":"modifier","op":"add","source":"Врождённое чародейство","stack_id":"innate-sorcery:spell-save-dc","value":"1"},{"applies_to":{"filter":{"spellClass":"CLASS-sorcerer"},"roll":"attack"},"duration":{"amount":10,"type":"rounds"},"kind":"modifier","op":"advantage","source":"Врождённое чародейство","stack_id":"innate-sorcery:spell-attack"}]}]</x:v>
      </x:c>
      <x:c r="I353" s="21" t="str">
        <x:v>verified_mechanical</x:v>
      </x:c>
      <x:c r="J353" s="21" t="str">
        <x:v>Passed</x:v>
      </x:c>
      <x:c r="K353" s="21" t="str"/>
      <x:c r="L353" s="21" t="str">
        <x:v>PASS — level-1 Forge/sheet assembly, combat compilation, resources and linked class contract passed. Automated evidence: 30 class corpus scenarios plus the production Forge sweep; representative retained browser characters cover Bard, Fighter, Wizard and Druid. Clarity: feature/resource source remains visible on sheet or combat UI.</x:v>
      </x:c>
    </x:row>
    <x:row r="354" ht="48" customHeight="1">
      <x:c r="A354" s="21" t="str">
        <x:v>Чародей</x:v>
      </x:c>
      <x:c r="B354" s="21" t="str">
        <x:v>CLASS-sorcerer</x:v>
      </x:c>
      <x:c r="C354" s="21" t="str">
        <x:v>66a58227-41e6-4c56-b548-1253d98f6f09</x:v>
      </x:c>
      <x:c r="D354" s="21" t="n">
        <x:v>2</x:v>
      </x:c>
      <x:c r="E354" s="21" t="str">
        <x:v>Effect</x:v>
      </x:c>
      <x:c r="F354" s="21" t="str">
        <x:v>Метамагия</x:v>
      </x:c>
      <x:c r="G354" s="21" t="str">
        <x:v>EFF-metamagic · d9895577-95d9-4104-addb-15a880fd0808</x:v>
      </x:c>
      <x:c r="H354" s="21" t="str">
        <x:v>Вы получаете два варианта Метамагии по вашему выбору и можете временно видоизменять сотворяемые заклинания, тратя Очки чародейства (1–2 очка за вариант). На одно заклинание можно применить только один вариант Метамагии, если в описании варианта не указано иное. Ещё по два варианта вы получаете на 10-м и 17-м уровнях Чародея. | Activation: passive | Effects: [{"count":2,"id":"sorcerer_metamagic","kind":"choice","options":{"items":[{"grants":[{"description":"Союзники автоматически успешны на спасброске.","kind":"narrative"}],"id":"careful","name":"Аккуратное"},{"grants":[{"description":"Удвоение дистанции или touch→30 фт.","kind":"narrative"}],"id":"distant","name":"Дальнее"},{"grants":[{"description":"Переброс костей урона/лечения.","kind":"narrative"}],"id":"empowered","name":"Усиленное"},{"grants":[{"description":"Удвоение длительности ≥ 1 мин.","kind":"narrative"}]…</x:v>
      </x:c>
      <x:c r="I354" s="21" t="str">
        <x:v>verified_mechanical</x:v>
      </x:c>
      <x:c r="J354" s="21" t="str">
        <x:v>Not tested</x:v>
      </x:c>
      <x:c r="K354" s="21" t="str"/>
      <x:c r="L354" s="21" t="str"/>
    </x:row>
    <x:row r="355" ht="48" customHeight="1">
      <x:c r="A355" s="21" t="str">
        <x:v>Чародей</x:v>
      </x:c>
      <x:c r="B355" s="21" t="str">
        <x:v>CLASS-sorcerer</x:v>
      </x:c>
      <x:c r="C355" s="21" t="str">
        <x:v>66a58227-41e6-4c56-b548-1253d98f6f09</x:v>
      </x:c>
      <x:c r="D355" s="21" t="n">
        <x:v>2</x:v>
      </x:c>
      <x:c r="E355" s="21" t="str">
        <x:v>Effect</x:v>
      </x:c>
      <x:c r="F355" s="21" t="str">
        <x:v>Источник магии</x:v>
      </x:c>
      <x:c r="G355" s="21" t="str">
        <x:v>EFF-font-of-magic · 6ad9d3a6-03be-4b30-8fdd-27d47260ff6c</x:v>
      </x:c>
      <x:c r="H355" s="21" t="str">
        <x:v>Очки чародейства и конвертация ячеек. | Activation: passive | Effects: [{"resolution":"auto","result":[{"description":"Очки чародейства = уровень. Конвертация очков ↔ ячейки.","kind":"narrative"}]}]</x:v>
      </x:c>
      <x:c r="I355" s="21" t="str">
        <x:v>verified_mechanical</x:v>
      </x:c>
      <x:c r="J355" s="21" t="str">
        <x:v>Not tested</x:v>
      </x:c>
      <x:c r="K355" s="21" t="str"/>
      <x:c r="L355" s="21" t="str"/>
    </x:row>
    <x:row r="356" ht="48" customHeight="1">
      <x:c r="A356" s="21" t="str">
        <x:v>Чародей</x:v>
      </x:c>
      <x:c r="B356" s="21" t="str">
        <x:v>CLASS-sorcerer</x:v>
      </x:c>
      <x:c r="C356" s="21" t="str">
        <x:v>66a58227-41e6-4c56-b548-1253d98f6f09</x:v>
      </x:c>
      <x:c r="D356" s="21" t="n">
        <x:v>2</x:v>
      </x:c>
      <x:c r="E356" s="21" t="str">
        <x:v>Effect</x:v>
      </x:c>
      <x:c r="F356" s="21" t="str">
        <x:v>Заклинания (чародей)</x:v>
      </x:c>
      <x:c r="G356" s="21" t="str">
        <x:v>caster-sorcerer-spells · 89e369fe-34fa-4b48-b943-b44a2b59d330</x:v>
      </x:c>
      <x:c r="H356"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56" s="21" t="str">
        <x:v>verified_mechanical</x:v>
      </x:c>
      <x:c r="J356" s="21" t="str">
        <x:v>Not tested</x:v>
      </x:c>
      <x:c r="K356" s="21" t="str"/>
      <x:c r="L356" s="21" t="str"/>
    </x:row>
    <x:row r="357" ht="48" customHeight="1">
      <x:c r="A357" s="21" t="str">
        <x:v>Чародей</x:v>
      </x:c>
      <x:c r="B357" s="21" t="str">
        <x:v>CLASS-sorcerer</x:v>
      </x:c>
      <x:c r="C357" s="21" t="str">
        <x:v>66a58227-41e6-4c56-b548-1253d98f6f09</x:v>
      </x:c>
      <x:c r="D357" s="21" t="n">
        <x:v>3</x:v>
      </x:c>
      <x:c r="E357" s="21" t="str">
        <x:v>Effect</x:v>
      </x:c>
      <x:c r="F357" s="21" t="str">
        <x:v>Заклинания (чародей)</x:v>
      </x:c>
      <x:c r="G357" s="21" t="str">
        <x:v>caster-sorcerer-spells · 89e369fe-34fa-4b48-b943-b44a2b59d330</x:v>
      </x:c>
      <x:c r="H357"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57" s="21" t="str">
        <x:v>verified_mechanical</x:v>
      </x:c>
      <x:c r="J357" s="21" t="str">
        <x:v>Not tested</x:v>
      </x:c>
      <x:c r="K357" s="21" t="str"/>
      <x:c r="L357" s="21" t="str"/>
    </x:row>
    <x:row r="358" ht="48" customHeight="1">
      <x:c r="A358" s="21" t="str">
        <x:v>Чародей</x:v>
      </x:c>
      <x:c r="B358" s="21" t="str">
        <x:v>CLASS-sorcerer</x:v>
      </x:c>
      <x:c r="C358" s="21" t="str">
        <x:v>66a58227-41e6-4c56-b548-1253d98f6f09</x:v>
      </x:c>
      <x:c r="D358" s="21" t="n">
        <x:v>4</x:v>
      </x:c>
      <x:c r="E358" s="21" t="str">
        <x:v>Effect</x:v>
      </x:c>
      <x:c r="F358" s="21" t="str">
        <x:v>Получение черты</x:v>
      </x:c>
      <x:c r="G358" s="21" t="str">
        <x:v>pf_1 · 5dbd9afb-b125-4038-9d51-54819757c777</x:v>
      </x:c>
      <x:c r="H358" s="21" t="str">
        <x:v>Вы можете выбрать одну из универсальных черт или черт происхождения. | Activation: passive | Effects: [{"grant":{"kind":"grant_feat"},"id":"gain_feat","kind":"choice","options":{"categories":["origin","general"],"source":"feat"},"prompt":"Получение черты"}]</x:v>
      </x:c>
      <x:c r="I358" s="21" t="str">
        <x:v>verified_mechanical</x:v>
      </x:c>
      <x:c r="J358" s="21" t="str">
        <x:v>Not tested</x:v>
      </x:c>
      <x:c r="K358" s="21" t="str"/>
      <x:c r="L358" s="21" t="str"/>
    </x:row>
    <x:row r="359" ht="48" customHeight="1">
      <x:c r="A359" s="21" t="str">
        <x:v>Чародей</x:v>
      </x:c>
      <x:c r="B359" s="21" t="str">
        <x:v>CLASS-sorcerer</x:v>
      </x:c>
      <x:c r="C359" s="21" t="str">
        <x:v>66a58227-41e6-4c56-b548-1253d98f6f09</x:v>
      </x:c>
      <x:c r="D359" s="21" t="n">
        <x:v>4</x:v>
      </x:c>
      <x:c r="E359" s="21" t="str">
        <x:v>Effect</x:v>
      </x:c>
      <x:c r="F359" s="21" t="str">
        <x:v>Заклинания (чародей)</x:v>
      </x:c>
      <x:c r="G359" s="21" t="str">
        <x:v>caster-sorcerer-spells · 89e369fe-34fa-4b48-b943-b44a2b59d330</x:v>
      </x:c>
      <x:c r="H359"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59" s="21" t="str">
        <x:v>verified_mechanical</x:v>
      </x:c>
      <x:c r="J359" s="21" t="str">
        <x:v>Not tested</x:v>
      </x:c>
      <x:c r="K359" s="21" t="str"/>
      <x:c r="L359" s="21" t="str"/>
    </x:row>
    <x:row r="360" ht="48" customHeight="1">
      <x:c r="A360" s="21" t="str">
        <x:v>Чародей</x:v>
      </x:c>
      <x:c r="B360" s="21" t="str">
        <x:v>CLASS-sorcerer</x:v>
      </x:c>
      <x:c r="C360" s="21" t="str">
        <x:v>66a58227-41e6-4c56-b548-1253d98f6f09</x:v>
      </x:c>
      <x:c r="D360" s="21" t="n">
        <x:v>4</x:v>
      </x:c>
      <x:c r="E360" s="21" t="str">
        <x:v>Effect</x:v>
      </x:c>
      <x:c r="F360" s="21" t="str">
        <x:v>Заговоры (чародей)</x:v>
      </x:c>
      <x:c r="G360" s="21" t="str">
        <x:v>caster-sorcerer-cantrips · 31d5e170-062a-40f4-9ede-15b47baf8b27</x:v>
      </x:c>
      <x:c r="H360" s="21" t="str">
        <x:v>Дополнительные заговоры чародейа. Повторяемый: по одному на прикрепление. | Activation: passive | Effects: [{"resolution":"auto","result":[{"count":1,"grant":{"kind":"grant_spell","label":"cantrip"},"id":"sorcerer_cantrip_growth","kind":"choice","options":{"filter":{"classes":["чародей"],"levels":[0]},"source":"spell"},"prompt":"Выберите заговор","resolution":"on_acquire"}]}]</x:v>
      </x:c>
      <x:c r="I360" s="21" t="str">
        <x:v>verified_mechanical</x:v>
      </x:c>
      <x:c r="J360" s="21" t="str">
        <x:v>Not tested</x:v>
      </x:c>
      <x:c r="K360" s="21" t="str"/>
      <x:c r="L360" s="21" t="str"/>
    </x:row>
    <x:row r="361" ht="48" customHeight="1">
      <x:c r="A361" s="21" t="str">
        <x:v>Чародей</x:v>
      </x:c>
      <x:c r="B361" s="21" t="str">
        <x:v>CLASS-sorcerer</x:v>
      </x:c>
      <x:c r="C361" s="21" t="str">
        <x:v>66a58227-41e6-4c56-b548-1253d98f6f09</x:v>
      </x:c>
      <x:c r="D361" s="21" t="n">
        <x:v>5</x:v>
      </x:c>
      <x:c r="E361" s="21" t="str">
        <x:v>Effect</x:v>
      </x:c>
      <x:c r="F361" s="21" t="str">
        <x:v>Заклинания (чародей)</x:v>
      </x:c>
      <x:c r="G361" s="21" t="str">
        <x:v>caster-sorcerer-spells · 89e369fe-34fa-4b48-b943-b44a2b59d330</x:v>
      </x:c>
      <x:c r="H361"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1" s="21" t="str">
        <x:v>verified_mechanical</x:v>
      </x:c>
      <x:c r="J361" s="21" t="str">
        <x:v>Not tested</x:v>
      </x:c>
      <x:c r="K361" s="21" t="str"/>
      <x:c r="L361" s="21" t="str"/>
    </x:row>
    <x:row r="362" ht="48" customHeight="1">
      <x:c r="A362" s="21" t="str">
        <x:v>Чародей</x:v>
      </x:c>
      <x:c r="B362" s="21" t="str">
        <x:v>CLASS-sorcerer</x:v>
      </x:c>
      <x:c r="C362" s="21" t="str">
        <x:v>66a58227-41e6-4c56-b548-1253d98f6f09</x:v>
      </x:c>
      <x:c r="D362" s="21" t="n">
        <x:v>6</x:v>
      </x:c>
      <x:c r="E362" s="21" t="str">
        <x:v>Effect</x:v>
      </x:c>
      <x:c r="F362" s="21" t="str">
        <x:v>Заклинания (чародей)</x:v>
      </x:c>
      <x:c r="G362" s="21" t="str">
        <x:v>caster-sorcerer-spells · 89e369fe-34fa-4b48-b943-b44a2b59d330</x:v>
      </x:c>
      <x:c r="H362"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2" s="21" t="str">
        <x:v>verified_mechanical</x:v>
      </x:c>
      <x:c r="J362" s="21" t="str">
        <x:v>Not tested</x:v>
      </x:c>
      <x:c r="K362" s="21" t="str"/>
      <x:c r="L362" s="21" t="str"/>
    </x:row>
    <x:row r="363" ht="48" customHeight="1">
      <x:c r="A363" s="21" t="str">
        <x:v>Чародей</x:v>
      </x:c>
      <x:c r="B363" s="21" t="str">
        <x:v>CLASS-sorcerer</x:v>
      </x:c>
      <x:c r="C363" s="21" t="str">
        <x:v>66a58227-41e6-4c56-b548-1253d98f6f09</x:v>
      </x:c>
      <x:c r="D363" s="21" t="n">
        <x:v>7</x:v>
      </x:c>
      <x:c r="E363" s="21" t="str">
        <x:v>Effect</x:v>
      </x:c>
      <x:c r="F363" s="21" t="str">
        <x:v>Заклинания (чародей)</x:v>
      </x:c>
      <x:c r="G363" s="21" t="str">
        <x:v>caster-sorcerer-spells · 89e369fe-34fa-4b48-b943-b44a2b59d330</x:v>
      </x:c>
      <x:c r="H363"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3" s="21" t="str">
        <x:v>verified_mechanical</x:v>
      </x:c>
      <x:c r="J363" s="21" t="str">
        <x:v>Not tested</x:v>
      </x:c>
      <x:c r="K363" s="21" t="str"/>
      <x:c r="L363" s="21" t="str"/>
    </x:row>
    <x:row r="364" ht="48" customHeight="1">
      <x:c r="A364" s="21" t="str">
        <x:v>Чародей</x:v>
      </x:c>
      <x:c r="B364" s="21" t="str">
        <x:v>CLASS-sorcerer</x:v>
      </x:c>
      <x:c r="C364" s="21" t="str">
        <x:v>66a58227-41e6-4c56-b548-1253d98f6f09</x:v>
      </x:c>
      <x:c r="D364" s="21" t="n">
        <x:v>8</x:v>
      </x:c>
      <x:c r="E364" s="21" t="str">
        <x:v>Effect</x:v>
      </x:c>
      <x:c r="F364" s="21" t="str">
        <x:v>Получение черты · слот 2</x:v>
      </x:c>
      <x:c r="G364" s="21" t="str">
        <x:v>pf_2 · 55689cd6-f67f-4368-8a96-53bc134fd78b</x:v>
      </x:c>
      <x:c r="H364" s="21" t="str">
        <x:v>Получение черты · слот 2 | Activation: passive | Effects: [{"grant":{"kind":"grant_feat"},"id":"gain_feat","kind":"choice","options":{"categories":["origin","general"],"source":"feat"},"prompt":"Получение черты"}]</x:v>
      </x:c>
      <x:c r="I364" s="21" t="str">
        <x:v>verified_mechanical</x:v>
      </x:c>
      <x:c r="J364" s="21" t="str">
        <x:v>Not tested</x:v>
      </x:c>
      <x:c r="K364" s="21" t="str"/>
      <x:c r="L364" s="21" t="str"/>
    </x:row>
    <x:row r="365" ht="48" customHeight="1">
      <x:c r="A365" s="21" t="str">
        <x:v>Чародей</x:v>
      </x:c>
      <x:c r="B365" s="21" t="str">
        <x:v>CLASS-sorcerer</x:v>
      </x:c>
      <x:c r="C365" s="21" t="str">
        <x:v>66a58227-41e6-4c56-b548-1253d98f6f09</x:v>
      </x:c>
      <x:c r="D365" s="21" t="n">
        <x:v>8</x:v>
      </x:c>
      <x:c r="E365" s="21" t="str">
        <x:v>Effect</x:v>
      </x:c>
      <x:c r="F365" s="21" t="str">
        <x:v>Заклинания (чародей)</x:v>
      </x:c>
      <x:c r="G365" s="21" t="str">
        <x:v>caster-sorcerer-spells · 89e369fe-34fa-4b48-b943-b44a2b59d330</x:v>
      </x:c>
      <x:c r="H365"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5" s="21" t="str">
        <x:v>verified_mechanical</x:v>
      </x:c>
      <x:c r="J365" s="21" t="str">
        <x:v>Not tested</x:v>
      </x:c>
      <x:c r="K365" s="21" t="str"/>
      <x:c r="L365" s="21" t="str"/>
    </x:row>
    <x:row r="366" ht="48" customHeight="1">
      <x:c r="A366" s="21" t="str">
        <x:v>Чародей</x:v>
      </x:c>
      <x:c r="B366" s="21" t="str">
        <x:v>CLASS-sorcerer</x:v>
      </x:c>
      <x:c r="C366" s="21" t="str">
        <x:v>66a58227-41e6-4c56-b548-1253d98f6f09</x:v>
      </x:c>
      <x:c r="D366" s="21" t="n">
        <x:v>9</x:v>
      </x:c>
      <x:c r="E366" s="21" t="str">
        <x:v>Effect</x:v>
      </x:c>
      <x:c r="F366" s="21" t="str">
        <x:v>Заклинания (чародей)</x:v>
      </x:c>
      <x:c r="G366" s="21" t="str">
        <x:v>caster-sorcerer-spells · 89e369fe-34fa-4b48-b943-b44a2b59d330</x:v>
      </x:c>
      <x:c r="H366"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6" s="21" t="str">
        <x:v>verified_mechanical</x:v>
      </x:c>
      <x:c r="J366" s="21" t="str">
        <x:v>Not tested</x:v>
      </x:c>
      <x:c r="K366" s="21" t="str"/>
      <x:c r="L366" s="21" t="str"/>
    </x:row>
    <x:row r="367" ht="48" customHeight="1">
      <x:c r="A367" s="21" t="str">
        <x:v>Чародей</x:v>
      </x:c>
      <x:c r="B367" s="21" t="str">
        <x:v>CLASS-sorcerer</x:v>
      </x:c>
      <x:c r="C367" s="21" t="str">
        <x:v>66a58227-41e6-4c56-b548-1253d98f6f09</x:v>
      </x:c>
      <x:c r="D367" s="21" t="n">
        <x:v>10</x:v>
      </x:c>
      <x:c r="E367" s="21" t="str">
        <x:v>Effect</x:v>
      </x:c>
      <x:c r="F367" s="21" t="str">
        <x:v>Заклинания (чародей)</x:v>
      </x:c>
      <x:c r="G367" s="21" t="str">
        <x:v>caster-sorcerer-spells · 89e369fe-34fa-4b48-b943-b44a2b59d330</x:v>
      </x:c>
      <x:c r="H367"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7" s="21" t="str">
        <x:v>verified_mechanical</x:v>
      </x:c>
      <x:c r="J367" s="21" t="str">
        <x:v>Not tested</x:v>
      </x:c>
      <x:c r="K367" s="21" t="str"/>
      <x:c r="L367" s="21" t="str"/>
    </x:row>
    <x:row r="368" ht="48" customHeight="1">
      <x:c r="A368" s="21" t="str">
        <x:v>Чародей</x:v>
      </x:c>
      <x:c r="B368" s="21" t="str">
        <x:v>CLASS-sorcerer</x:v>
      </x:c>
      <x:c r="C368" s="21" t="str">
        <x:v>66a58227-41e6-4c56-b548-1253d98f6f09</x:v>
      </x:c>
      <x:c r="D368" s="21" t="n">
        <x:v>10</x:v>
      </x:c>
      <x:c r="E368" s="21" t="str">
        <x:v>Effect</x:v>
      </x:c>
      <x:c r="F368" s="21" t="str">
        <x:v>Заговоры (чародей)</x:v>
      </x:c>
      <x:c r="G368" s="21" t="str">
        <x:v>caster-sorcerer-cantrips · 31d5e170-062a-40f4-9ede-15b47baf8b27</x:v>
      </x:c>
      <x:c r="H368" s="21" t="str">
        <x:v>Дополнительные заговоры чародейа. Повторяемый: по одному на прикрепление. | Activation: passive | Effects: [{"resolution":"auto","result":[{"count":1,"grant":{"kind":"grant_spell","label":"cantrip"},"id":"sorcerer_cantrip_growth","kind":"choice","options":{"filter":{"classes":["чародей"],"levels":[0]},"source":"spell"},"prompt":"Выберите заговор","resolution":"on_acquire"}]}]</x:v>
      </x:c>
      <x:c r="I368" s="21" t="str">
        <x:v>verified_mechanical</x:v>
      </x:c>
      <x:c r="J368" s="21" t="str">
        <x:v>Not tested</x:v>
      </x:c>
      <x:c r="K368" s="21" t="str"/>
      <x:c r="L368" s="21" t="str"/>
    </x:row>
    <x:row r="369" ht="48" customHeight="1">
      <x:c r="A369" s="21" t="str">
        <x:v>Чародей</x:v>
      </x:c>
      <x:c r="B369" s="21" t="str">
        <x:v>CLASS-sorcerer</x:v>
      </x:c>
      <x:c r="C369" s="21" t="str">
        <x:v>66a58227-41e6-4c56-b548-1253d98f6f09</x:v>
      </x:c>
      <x:c r="D369" s="21" t="n">
        <x:v>11</x:v>
      </x:c>
      <x:c r="E369" s="21" t="str">
        <x:v>Effect</x:v>
      </x:c>
      <x:c r="F369" s="21" t="str">
        <x:v>Заклинания (чародей)</x:v>
      </x:c>
      <x:c r="G369" s="21" t="str">
        <x:v>caster-sorcerer-spells · 89e369fe-34fa-4b48-b943-b44a2b59d330</x:v>
      </x:c>
      <x:c r="H369"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69" s="21" t="str">
        <x:v>verified_mechanical</x:v>
      </x:c>
      <x:c r="J369" s="21" t="str">
        <x:v>Not tested</x:v>
      </x:c>
      <x:c r="K369" s="21" t="str"/>
      <x:c r="L369" s="21" t="str"/>
    </x:row>
    <x:row r="370" ht="48" customHeight="1">
      <x:c r="A370" s="21" t="str">
        <x:v>Чародей</x:v>
      </x:c>
      <x:c r="B370" s="21" t="str">
        <x:v>CLASS-sorcerer</x:v>
      </x:c>
      <x:c r="C370" s="21" t="str">
        <x:v>66a58227-41e6-4c56-b548-1253d98f6f09</x:v>
      </x:c>
      <x:c r="D370" s="21" t="n">
        <x:v>12</x:v>
      </x:c>
      <x:c r="E370" s="21" t="str">
        <x:v>Effect</x:v>
      </x:c>
      <x:c r="F370" s="21" t="str">
        <x:v>Получение черты · слот 3</x:v>
      </x:c>
      <x:c r="G370" s="21" t="str">
        <x:v>pf_3 · 6ec4b5ab-4abc-47af-b45a-560ca2a1bb07</x:v>
      </x:c>
      <x:c r="H370" s="21" t="str">
        <x:v>Получение черты · слот 3 | Activation: passive | Effects: [{"grant":{"kind":"grant_feat"},"id":"gain_feat","kind":"choice","options":{"categories":["origin","general"],"source":"feat"},"prompt":"Получение черты"}]</x:v>
      </x:c>
      <x:c r="I370" s="21" t="str">
        <x:v>verified_mechanical</x:v>
      </x:c>
      <x:c r="J370" s="21" t="str">
        <x:v>Not tested</x:v>
      </x:c>
      <x:c r="K370" s="21" t="str"/>
      <x:c r="L370" s="21" t="str"/>
    </x:row>
    <x:row r="371" ht="48" customHeight="1">
      <x:c r="A371" s="21" t="str">
        <x:v>Чародей</x:v>
      </x:c>
      <x:c r="B371" s="21" t="str">
        <x:v>CLASS-sorcerer</x:v>
      </x:c>
      <x:c r="C371" s="21" t="str">
        <x:v>66a58227-41e6-4c56-b548-1253d98f6f09</x:v>
      </x:c>
      <x:c r="D371" s="21" t="n">
        <x:v>12</x:v>
      </x:c>
      <x:c r="E371" s="21" t="str">
        <x:v>Effect</x:v>
      </x:c>
      <x:c r="F371" s="21" t="str">
        <x:v>Заклинания (чародей)</x:v>
      </x:c>
      <x:c r="G371" s="21" t="str">
        <x:v>caster-sorcerer-spells · 89e369fe-34fa-4b48-b943-b44a2b59d330</x:v>
      </x:c>
      <x:c r="H371"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1" s="21" t="str">
        <x:v>verified_mechanical</x:v>
      </x:c>
      <x:c r="J371" s="21" t="str">
        <x:v>Not tested</x:v>
      </x:c>
      <x:c r="K371" s="21" t="str"/>
      <x:c r="L371" s="21" t="str"/>
    </x:row>
    <x:row r="372" ht="48" customHeight="1">
      <x:c r="A372" s="21" t="str">
        <x:v>Чародей</x:v>
      </x:c>
      <x:c r="B372" s="21" t="str">
        <x:v>CLASS-sorcerer</x:v>
      </x:c>
      <x:c r="C372" s="21" t="str">
        <x:v>66a58227-41e6-4c56-b548-1253d98f6f09</x:v>
      </x:c>
      <x:c r="D372" s="21" t="n">
        <x:v>13</x:v>
      </x:c>
      <x:c r="E372" s="21" t="str">
        <x:v>Effect</x:v>
      </x:c>
      <x:c r="F372" s="21" t="str">
        <x:v>Заклинания (чародей)</x:v>
      </x:c>
      <x:c r="G372" s="21" t="str">
        <x:v>caster-sorcerer-spells · 89e369fe-34fa-4b48-b943-b44a2b59d330</x:v>
      </x:c>
      <x:c r="H372"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2" s="21" t="str">
        <x:v>verified_mechanical</x:v>
      </x:c>
      <x:c r="J372" s="21" t="str">
        <x:v>Not tested</x:v>
      </x:c>
      <x:c r="K372" s="21" t="str"/>
      <x:c r="L372" s="21" t="str"/>
    </x:row>
    <x:row r="373" ht="48" customHeight="1">
      <x:c r="A373" s="21" t="str">
        <x:v>Чародей</x:v>
      </x:c>
      <x:c r="B373" s="21" t="str">
        <x:v>CLASS-sorcerer</x:v>
      </x:c>
      <x:c r="C373" s="21" t="str">
        <x:v>66a58227-41e6-4c56-b548-1253d98f6f09</x:v>
      </x:c>
      <x:c r="D373" s="21" t="n">
        <x:v>14</x:v>
      </x:c>
      <x:c r="E373" s="21" t="str">
        <x:v>Effect</x:v>
      </x:c>
      <x:c r="F373" s="21" t="str">
        <x:v>Заклинания (чародей)</x:v>
      </x:c>
      <x:c r="G373" s="21" t="str">
        <x:v>caster-sorcerer-spells · 89e369fe-34fa-4b48-b943-b44a2b59d330</x:v>
      </x:c>
      <x:c r="H373"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3" s="21" t="str">
        <x:v>verified_mechanical</x:v>
      </x:c>
      <x:c r="J373" s="21" t="str">
        <x:v>Not tested</x:v>
      </x:c>
      <x:c r="K373" s="21" t="str"/>
      <x:c r="L373" s="21" t="str"/>
    </x:row>
    <x:row r="374" ht="48" customHeight="1">
      <x:c r="A374" s="21" t="str">
        <x:v>Чародей</x:v>
      </x:c>
      <x:c r="B374" s="21" t="str">
        <x:v>CLASS-sorcerer</x:v>
      </x:c>
      <x:c r="C374" s="21" t="str">
        <x:v>66a58227-41e6-4c56-b548-1253d98f6f09</x:v>
      </x:c>
      <x:c r="D374" s="21" t="n">
        <x:v>15</x:v>
      </x:c>
      <x:c r="E374" s="21" t="str">
        <x:v>Effect</x:v>
      </x:c>
      <x:c r="F374" s="21" t="str">
        <x:v>Заклинания (чародей)</x:v>
      </x:c>
      <x:c r="G374" s="21" t="str">
        <x:v>caster-sorcerer-spells · 89e369fe-34fa-4b48-b943-b44a2b59d330</x:v>
      </x:c>
      <x:c r="H374"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4" s="21" t="str">
        <x:v>verified_mechanical</x:v>
      </x:c>
      <x:c r="J374" s="21" t="str">
        <x:v>Not tested</x:v>
      </x:c>
      <x:c r="K374" s="21" t="str"/>
      <x:c r="L374" s="21" t="str"/>
    </x:row>
    <x:row r="375" ht="48" customHeight="1">
      <x:c r="A375" s="21" t="str">
        <x:v>Чародей</x:v>
      </x:c>
      <x:c r="B375" s="21" t="str">
        <x:v>CLASS-sorcerer</x:v>
      </x:c>
      <x:c r="C375" s="21" t="str">
        <x:v>66a58227-41e6-4c56-b548-1253d98f6f09</x:v>
      </x:c>
      <x:c r="D375" s="21" t="n">
        <x:v>16</x:v>
      </x:c>
      <x:c r="E375" s="21" t="str">
        <x:v>Effect</x:v>
      </x:c>
      <x:c r="F375" s="21" t="str">
        <x:v>Получение черты · слот 4</x:v>
      </x:c>
      <x:c r="G375" s="21" t="str">
        <x:v>pf_4 · f3a0400f-579f-4a68-8105-cfad1d862357</x:v>
      </x:c>
      <x:c r="H375" s="21" t="str">
        <x:v>Получение черты · слот 4 | Activation: passive | Effects: [{"grant":{"kind":"grant_feat"},"id":"gain_feat","kind":"choice","options":{"categories":["origin","general"],"source":"feat"},"prompt":"Получение черты"}]</x:v>
      </x:c>
      <x:c r="I375" s="21" t="str">
        <x:v>verified_mechanical</x:v>
      </x:c>
      <x:c r="J375" s="21" t="str">
        <x:v>Not tested</x:v>
      </x:c>
      <x:c r="K375" s="21" t="str"/>
      <x:c r="L375" s="21" t="str"/>
    </x:row>
    <x:row r="376" ht="48" customHeight="1">
      <x:c r="A376" s="21" t="str">
        <x:v>Чародей</x:v>
      </x:c>
      <x:c r="B376" s="21" t="str">
        <x:v>CLASS-sorcerer</x:v>
      </x:c>
      <x:c r="C376" s="21" t="str">
        <x:v>66a58227-41e6-4c56-b548-1253d98f6f09</x:v>
      </x:c>
      <x:c r="D376" s="21" t="n">
        <x:v>16</x:v>
      </x:c>
      <x:c r="E376" s="21" t="str">
        <x:v>Effect</x:v>
      </x:c>
      <x:c r="F376" s="21" t="str">
        <x:v>Заклинания (чародей)</x:v>
      </x:c>
      <x:c r="G376" s="21" t="str">
        <x:v>caster-sorcerer-spells · 89e369fe-34fa-4b48-b943-b44a2b59d330</x:v>
      </x:c>
      <x:c r="H376"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6" s="21" t="str">
        <x:v>verified_mechanical</x:v>
      </x:c>
      <x:c r="J376" s="21" t="str">
        <x:v>Not tested</x:v>
      </x:c>
      <x:c r="K376" s="21" t="str"/>
      <x:c r="L376" s="21" t="str"/>
    </x:row>
    <x:row r="377" ht="48" customHeight="1">
      <x:c r="A377" s="21" t="str">
        <x:v>Чародей</x:v>
      </x:c>
      <x:c r="B377" s="21" t="str">
        <x:v>CLASS-sorcerer</x:v>
      </x:c>
      <x:c r="C377" s="21" t="str">
        <x:v>66a58227-41e6-4c56-b548-1253d98f6f09</x:v>
      </x:c>
      <x:c r="D377" s="21" t="n">
        <x:v>17</x:v>
      </x:c>
      <x:c r="E377" s="21" t="str">
        <x:v>Effect</x:v>
      </x:c>
      <x:c r="F377" s="21" t="str">
        <x:v>Заклинания (чародей)</x:v>
      </x:c>
      <x:c r="G377" s="21" t="str">
        <x:v>caster-sorcerer-spells · 89e369fe-34fa-4b48-b943-b44a2b59d330</x:v>
      </x:c>
      <x:c r="H377"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7" s="21" t="str">
        <x:v>verified_mechanical</x:v>
      </x:c>
      <x:c r="J377" s="21" t="str">
        <x:v>Not tested</x:v>
      </x:c>
      <x:c r="K377" s="21" t="str"/>
      <x:c r="L377" s="21" t="str"/>
    </x:row>
    <x:row r="378" ht="48" customHeight="1">
      <x:c r="A378" s="21" t="str">
        <x:v>Чародей</x:v>
      </x:c>
      <x:c r="B378" s="21" t="str">
        <x:v>CLASS-sorcerer</x:v>
      </x:c>
      <x:c r="C378" s="21" t="str">
        <x:v>66a58227-41e6-4c56-b548-1253d98f6f09</x:v>
      </x:c>
      <x:c r="D378" s="21" t="n">
        <x:v>18</x:v>
      </x:c>
      <x:c r="E378" s="21" t="str">
        <x:v>Effect</x:v>
      </x:c>
      <x:c r="F378" s="21" t="str">
        <x:v>Заклинания (чародей)</x:v>
      </x:c>
      <x:c r="G378" s="21" t="str">
        <x:v>caster-sorcerer-spells · 89e369fe-34fa-4b48-b943-b44a2b59d330</x:v>
      </x:c>
      <x:c r="H378"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78" s="21" t="str">
        <x:v>verified_mechanical</x:v>
      </x:c>
      <x:c r="J378" s="21" t="str">
        <x:v>Not tested</x:v>
      </x:c>
      <x:c r="K378" s="21" t="str"/>
      <x:c r="L378" s="21" t="str"/>
    </x:row>
    <x:row r="379" ht="48" customHeight="1">
      <x:c r="A379" s="21" t="str">
        <x:v>Чародей</x:v>
      </x:c>
      <x:c r="B379" s="21" t="str">
        <x:v>CLASS-sorcerer</x:v>
      </x:c>
      <x:c r="C379" s="21" t="str">
        <x:v>66a58227-41e6-4c56-b548-1253d98f6f09</x:v>
      </x:c>
      <x:c r="D379" s="21" t="n">
        <x:v>19</x:v>
      </x:c>
      <x:c r="E379" s="21" t="str">
        <x:v>Effect</x:v>
      </x:c>
      <x:c r="F379" s="21" t="str">
        <x:v>Получение черты · слот 5</x:v>
      </x:c>
      <x:c r="G379" s="21" t="str">
        <x:v>pf_5 · f5694b06-f2f8-40a7-8521-cc6bfe1e93c6</x:v>
      </x:c>
      <x:c r="H379" s="21" t="str">
        <x:v>Получение черты · слот 5 | Activation: passive | Effects: [{"grant":{"kind":"grant_feat"},"id":"gain_feat","kind":"choice","options":{"categories":["origin","general"],"source":"feat"},"prompt":"Получение черты"}]</x:v>
      </x:c>
      <x:c r="I379" s="21" t="str">
        <x:v>verified_mechanical</x:v>
      </x:c>
      <x:c r="J379" s="21" t="str">
        <x:v>Not tested</x:v>
      </x:c>
      <x:c r="K379" s="21" t="str"/>
      <x:c r="L379" s="21" t="str"/>
    </x:row>
    <x:row r="380" ht="48" customHeight="1">
      <x:c r="A380" s="21" t="str">
        <x:v>Чародей</x:v>
      </x:c>
      <x:c r="B380" s="21" t="str">
        <x:v>CLASS-sorcerer</x:v>
      </x:c>
      <x:c r="C380" s="21" t="str">
        <x:v>66a58227-41e6-4c56-b548-1253d98f6f09</x:v>
      </x:c>
      <x:c r="D380" s="21" t="n">
        <x:v>19</x:v>
      </x:c>
      <x:c r="E380" s="21" t="str">
        <x:v>Effect</x:v>
      </x:c>
      <x:c r="F380" s="21" t="str">
        <x:v>Заклинания (чародей)</x:v>
      </x:c>
      <x:c r="G380" s="21" t="str">
        <x:v>caster-sorcerer-spells · 89e369fe-34fa-4b48-b943-b44a2b59d330</x:v>
      </x:c>
      <x:c r="H380"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80" s="21" t="str">
        <x:v>verified_mechanical</x:v>
      </x:c>
      <x:c r="J380" s="21" t="str">
        <x:v>Not tested</x:v>
      </x:c>
      <x:c r="K380" s="21" t="str"/>
      <x:c r="L380" s="21" t="str"/>
    </x:row>
    <x:row r="381" ht="48" customHeight="1">
      <x:c r="A381" s="21" t="str">
        <x:v>Чародей</x:v>
      </x:c>
      <x:c r="B381" s="21" t="str">
        <x:v>CLASS-sorcerer</x:v>
      </x:c>
      <x:c r="C381" s="21" t="str">
        <x:v>66a58227-41e6-4c56-b548-1253d98f6f09</x:v>
      </x:c>
      <x:c r="D381" s="21" t="n">
        <x:v>20</x:v>
      </x:c>
      <x:c r="E381" s="21" t="str">
        <x:v>Effect</x:v>
      </x:c>
      <x:c r="F381" s="21" t="str">
        <x:v>Заклинания (чародей)</x:v>
      </x:c>
      <x:c r="G381" s="21" t="str">
        <x:v>caster-sorcerer-spells · 89e369fe-34fa-4b48-b943-b44a2b59d330</x:v>
      </x:c>
      <x:c r="H381" s="21" t="str">
        <x:v>Выбор заклинаний чародейа на уровне (доступные круги). Повторяемый: по одному на уровень. | Activation: passive | Effects: [{"resolution":"auto","result":[{"count":1,"grant":{"kind":"grant_spell","label":"known"},"id":"sorcerer_spells_recurring","kind":"choice","options":{"filter":{"classes":["чародей"],"only_available_slots":true},"source":"spell"},"prompt":"Выберите заклинание","resolution":"on_acquire"}]}]</x:v>
      </x:c>
      <x:c r="I381" s="21" t="str">
        <x:v>verified_mechanical</x:v>
      </x:c>
      <x:c r="J381" s="21" t="str">
        <x:v>Not tested</x:v>
      </x:c>
      <x:c r="K381" s="21" t="str"/>
      <x:c r="L381" s="21" t="str"/>
    </x:row>
  </x:sheetData>
  <x:mergeCells>
    <x:mergeCell ref="A1:L1"/>
    <x:mergeCell ref="A2:L2"/>
  </x:mergeCells>
  <x:conditionalFormatting sqref="J6:J381">
    <x:cfRule type="containsText" dxfId="0" priority="1" operator="containsText" text="Passed"/>
    <x:cfRule type="containsText" dxfId="1" priority="2" operator="containsText" text="Failed"/>
    <x:cfRule type="containsText" dxfId="2" priority="3" operator="containsText" text="Blocked"/>
    <x:cfRule type="containsText" dxfId="3" priority="4" operator="containsText" text="Needs retest"/>
    <x:cfRule type="containsText" dxfId="4" priority="5" operator="containsText" text="Out of L1 scope"/>
    <x:cfRule type="containsText" dxfId="5" priority="6" operator="containsText" text="Not tested"/>
  </x:conditionalFormatting>
  <x:dataValidations count="1">
    <x:dataValidation type="list" sqref="J6:J381">
      <x:formula1>"Not tested,Passed,Failed,Blocked,Needs retest,Out of L1 scope"</x:formula1>
    </x:dataValidation>
  </x:dataValidations>
  <x:pageMargins left="0.7" right="0.7" top="0.75" bottom="0.75" header="0.3" footer="0.3"/>
  <x:legacyDrawing xmlns:r="http://schemas.openxmlformats.org/officeDocument/2006/relationships" r:id="R0810698d71ed43ec"/>
  <x:tableParts count="1">
    <x:tablePart xmlns:r="http://schemas.openxmlformats.org/officeDocument/2006/relationships" r:id="Rfec13aa20658462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7" hidden="0" customWidth="1"/>
    <x:col min="4" max="4" width="20" hidden="0" customWidth="1"/>
    <x:col min="5" max="5" width="37" hidden="0" customWidth="1"/>
    <x:col min="6" max="6" width="12" hidden="0" customWidth="1"/>
    <x:col min="7" max="7" width="17" hidden="0" customWidth="1"/>
    <x:col min="8" max="8" width="28" hidden="0" customWidth="1"/>
    <x:col min="9" max="9" width="72" hidden="0" customWidth="1"/>
    <x:col min="10" max="10" width="19" hidden="0" customWidth="1"/>
    <x:col min="11" max="11" width="17" hidden="0" customWidth="1"/>
    <x:col min="12" max="12" width="38" hidden="0" customWidth="1"/>
    <x:col min="13" max="13" width="46" hidden="0" customWidth="1"/>
  </x:cols>
  <x:sheetData>
    <x:row r="1" ht="30" customHeight="1">
      <x:c r="A1" s="4" t="str">
        <x:v>Mini-MVP species and lineages — browser testing checklist</x:v>
      </x:c>
      <x:c r="B1" s="4"/>
      <x:c r="C1" s="4"/>
      <x:c r="D1" s="4"/>
      <x:c r="E1" s="4"/>
      <x:c r="F1" s="4"/>
      <x:c r="G1" s="4"/>
      <x:c r="H1" s="4"/>
      <x:c r="I1" s="4"/>
      <x:c r="J1" s="4"/>
      <x:c r="K1" s="4"/>
      <x:c r="L1" s="4"/>
      <x:c r="M1" s="4"/>
    </x:row>
    <x:row r="2" ht="34" customHeight="1">
      <x:c r="A2" s="8" t="str">
        <x:v>All 10 base species and all 24 Forge-selectable variants, including every listed trait and linked action/effect. · Production snapshot 2026-08-30T08:27:24.126Z</x:v>
      </x:c>
      <x:c r="B2" s="8"/>
      <x:c r="C2" s="8"/>
      <x:c r="D2" s="8"/>
      <x:c r="E2" s="8"/>
      <x:c r="F2" s="8"/>
      <x:c r="G2" s="8"/>
      <x:c r="H2" s="8"/>
      <x:c r="I2" s="8"/>
      <x:c r="J2" s="8"/>
      <x:c r="K2" s="8"/>
      <x:c r="L2" s="8"/>
      <x:c r="M2" s="8"/>
    </x:row>
    <x:row r="3">
      <x:c r="A3" s="11" t="str">
        <x:v>Rows</x:v>
      </x:c>
      <x:c r="B3" s="11" t="n">
        <x:f>COUNTA(A6:A211)</x:f>
        <x:v>206</x:v>
      </x:c>
      <x:c r="C3" s="11" t="str">
        <x:v>Passed</x:v>
      </x:c>
      <x:c r="D3" s="11" t="n">
        <x:f>COUNTIF(K6:K211,"Passed")</x:f>
        <x:v>189</x:v>
      </x:c>
      <x:c r="E3" s="11" t="str">
        <x:v>Failed</x:v>
      </x:c>
      <x:c r="F3" s="11" t="n">
        <x:f>COUNTIF(K6:K211,"Failed")</x:f>
        <x:v>0</x:v>
      </x:c>
      <x:c r="G3" s="11" t="str">
        <x:v>Blocked</x:v>
      </x:c>
      <x:c r="H3" s="11" t="n">
        <x:f>COUNTIF(K6:K211,"Blocked")</x:f>
        <x:v>0</x:v>
      </x:c>
      <x:c r="I3" s="11" t="str">
        <x:v>Not tested</x:v>
      </x:c>
      <x:c r="J3" s="11" t="n">
        <x:f>COUNTIF(K6:K211,"Not tested")</x:f>
        <x:v>16</x:v>
      </x:c>
    </x:row>
    <x:row r="5" ht="34" customHeight="1">
      <x:c r="A5" s="17" t="str">
        <x:v>Species</x:v>
      </x:c>
      <x:c r="B5" s="17" t="str">
        <x:v>Variant / lineage</x:v>
      </x:c>
      <x:c r="C5" s="17" t="str">
        <x:v>Parent card</x:v>
      </x:c>
      <x:c r="D5" s="17" t="str">
        <x:v>Entity card</x:v>
      </x:c>
      <x:c r="E5" s="17" t="str">
        <x:v>Entity ID</x:v>
      </x:c>
      <x:c r="F5" s="17" t="str">
        <x:v>Minimum level</x:v>
      </x:c>
      <x:c r="G5" s="17" t="str">
        <x:v>Item type</x:v>
      </x:c>
      <x:c r="H5" s="17" t="str">
        <x:v>Ability / effect</x:v>
      </x:c>
      <x:c r="I5" s="17" t="str">
        <x:v>Expected behavior / effects</x:v>
      </x:c>
      <x:c r="J5" s="17" t="str">
        <x:v>Catalog support</x:v>
      </x:c>
      <x:c r="K5" s="17" t="str">
        <x:v>Manual status</x:v>
      </x:c>
      <x:c r="L5" s="17" t="str">
        <x:v>Character ID(s)</x:v>
      </x:c>
      <x:c r="M5" s="17" t="str">
        <x:v>Test notes</x:v>
      </x:c>
    </x:row>
    <x:row r="6" ht="48" customHeight="1">
      <x:c r="A6" s="21" t="str">
        <x:v>Аасимар</x:v>
      </x:c>
      <x:c r="B6" s="21" t="str">
        <x:v>Base species</x:v>
      </x:c>
      <x:c r="C6" s="21" t="str">
        <x:v>RACE-0010</x:v>
      </x:c>
      <x:c r="D6" s="21" t="str">
        <x:v>RACE-0010</x:v>
      </x:c>
      <x:c r="E6" s="21" t="str">
        <x:v>3b63e5cd-fd0b-4887-a187-a6f11ab17dfc</x:v>
      </x:c>
      <x:c r="F6" s="21" t="n">
        <x:v>1</x:v>
      </x:c>
      <x:c r="G6" s="21" t="str">
        <x:v>Species chassis</x:v>
      </x:c>
      <x:c r="H6" s="21" t="str">
        <x:v>Аасимар</x:v>
      </x:c>
      <x:c r="I6" s="21" t="str">
        <x:v>Creature type Гуманоид; size Средний или Маленький; speed 30; darkvision 60. Аасимары — смертные, несущие в своих душах искру Верхних Планов. Будь они потомками ангелов или наделены силой небожителей, аасимары способны разжечь из этой искры пламя, чтобы нести свет, исцеление и ярость небес. Аасимар может появиться в любом поселении смертных: они похожи на своих родителей, но живут до 160 лет и несут черты небесного происхождения — светящиеся глаза, нимб или кожу ангельских цветов.</x:v>
      </x:c>
      <x:c r="J6" s="21" t="str">
        <x:v>verified_partial</x:v>
      </x:c>
      <x:c r="K6" s="21" t="str">
        <x:v>Passed</x:v>
      </x:c>
      <x:c r="L6" s="21" t="str">
        <x:v>100eb271-ad36-4045-9aea-ef0d01a9e395, 95f9318f-b6d4-4f84-b440-466e58da7414</x:v>
      </x:c>
      <x:c r="M6"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v>
      </x:c>
    </x:row>
    <x:row r="7" ht="48" customHeight="1">
      <x:c r="A7" s="21" t="str">
        <x:v>Аасимар</x:v>
      </x:c>
      <x:c r="B7" s="21" t="str">
        <x:v>Base species</x:v>
      </x:c>
      <x:c r="C7" s="21" t="str">
        <x:v>RACE-0010</x:v>
      </x:c>
      <x:c r="D7" s="21" t="str">
        <x:v>RACE-0010</x:v>
      </x:c>
      <x:c r="E7" s="21" t="str">
        <x:v>3b63e5cd-fd0b-4887-a187-a6f11ab17dfc</x:v>
      </x:c>
      <x:c r="F7" s="21" t="n">
        <x:v>1</x:v>
      </x:c>
      <x:c r="G7" s="21" t="str">
        <x:v>Trait</x:v>
      </x:c>
      <x:c r="H7" s="21" t="str">
        <x:v>Тёмное зрение</x:v>
      </x:c>
      <x:c r="I7" s="21" t="str">
        <x:v>Тёмное зрение 60 футов.</x:v>
      </x:c>
      <x:c r="J7" s="21" t="str">
        <x:v>verified_partial</x:v>
      </x:c>
      <x:c r="K7" s="21" t="str">
        <x:v>Passed</x:v>
      </x:c>
      <x:c r="L7" s="21" t="str">
        <x:v>100eb271-ad36-4045-9aea-ef0d01a9e395</x:v>
      </x:c>
      <x:c r="M7" s="21" t="str">
        <x:v>PASS — retained Aasimar Bard shows the granted trait on sheet; Light has persistent object-effect evidence, while Darkvision/resistances pass the shared runtime matrix. No spell behavior is rated here.</x:v>
      </x:c>
    </x:row>
    <x:row r="8" ht="48" customHeight="1">
      <x:c r="A8" s="21" t="str">
        <x:v>Аасимар</x:v>
      </x:c>
      <x:c r="B8" s="21" t="str">
        <x:v>Base species</x:v>
      </x:c>
      <x:c r="C8" s="21" t="str">
        <x:v>RACE-0010</x:v>
      </x:c>
      <x:c r="D8" s="21" t="str">
        <x:v>RACE-0010</x:v>
      </x:c>
      <x:c r="E8" s="21" t="str">
        <x:v>3b63e5cd-fd0b-4887-a187-a6f11ab17dfc</x:v>
      </x:c>
      <x:c r="F8" s="21" t="n">
        <x:v>1</x:v>
      </x:c>
      <x:c r="G8" s="21" t="str">
        <x:v>Trait</x:v>
      </x:c>
      <x:c r="H8" s="21" t="str">
        <x:v>Небесное сопротивление</x:v>
      </x:c>
      <x:c r="I8" s="21" t="str">
        <x:v>Сопротивление урону Некротической энергией и Излучением.</x:v>
      </x:c>
      <x:c r="J8" s="21" t="str">
        <x:v>verified_partial</x:v>
      </x:c>
      <x:c r="K8" s="21" t="str">
        <x:v>Passed</x:v>
      </x:c>
      <x:c r="L8" s="21" t="str">
        <x:v>100eb271-ad36-4045-9aea-ef0d01a9e395</x:v>
      </x:c>
      <x:c r="M8" s="21" t="str">
        <x:v>PASS — retained Aasimar Bard shows the granted trait on sheet; Light has persistent object-effect evidence, while Darkvision/resistances pass the shared runtime matrix. No spell behavior is rated here.</x:v>
      </x:c>
    </x:row>
    <x:row r="9" ht="48" customHeight="1">
      <x:c r="A9" s="21" t="str">
        <x:v>Аасимар</x:v>
      </x:c>
      <x:c r="B9" s="21" t="str">
        <x:v>Base species</x:v>
      </x:c>
      <x:c r="C9" s="21" t="str">
        <x:v>RACE-0010</x:v>
      </x:c>
      <x:c r="D9" s="21" t="str">
        <x:v>RACE-0010</x:v>
      </x:c>
      <x:c r="E9" s="21" t="str">
        <x:v>3b63e5cd-fd0b-4887-a187-a6f11ab17dfc</x:v>
      </x:c>
      <x:c r="F9" s="21" t="n">
        <x:v>1</x:v>
      </x:c>
      <x:c r="G9" s="21" t="str">
        <x:v>Trait</x:v>
      </x:c>
      <x:c r="H9" s="21" t="str">
        <x:v>Целебные руки</x:v>
      </x:c>
      <x:c r="I9" s="21" t="str">
        <x:v>Действием вы касаетесь существа и восстанавливаете ему хиты, равные броску d4 за ваш уровень. Раз за Долгий отдых.</x:v>
      </x:c>
      <x:c r="J9" s="21" t="str">
        <x:v>verified_partial</x:v>
      </x:c>
      <x:c r="K9" s="21" t="str">
        <x:v>Passed</x:v>
      </x:c>
      <x:c r="L9" s="21" t="str">
        <x:v>100eb271-ad36-4045-9aea-ef0d01a9e395, 95f9318f-b6d4-4f84-b440-466e58da7414</x:v>
      </x:c>
      <x:c r="M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v>
      </x:c>
    </x:row>
    <x:row r="10" ht="48" customHeight="1">
      <x:c r="A10" s="21" t="str">
        <x:v>Аасимар</x:v>
      </x:c>
      <x:c r="B10" s="21" t="str">
        <x:v>Base species</x:v>
      </x:c>
      <x:c r="C10" s="21" t="str">
        <x:v>RACE-0010</x:v>
      </x:c>
      <x:c r="D10" s="21" t="str">
        <x:v>RACE-0010</x:v>
      </x:c>
      <x:c r="E10" s="21" t="str">
        <x:v>3b63e5cd-fd0b-4887-a187-a6f11ab17dfc</x:v>
      </x:c>
      <x:c r="F10" s="21" t="n">
        <x:v>1</x:v>
      </x:c>
      <x:c r="G10" s="21" t="str">
        <x:v>Trait</x:v>
      </x:c>
      <x:c r="H10" s="21" t="str">
        <x:v>Светоч</x:v>
      </x:c>
      <x:c r="I10" s="21" t="str">
        <x:v>Вы знаете заговор Свет.</x:v>
      </x:c>
      <x:c r="J10" s="21" t="str">
        <x:v>verified_partial</x:v>
      </x:c>
      <x:c r="K10" s="21" t="str">
        <x:v>Passed</x:v>
      </x:c>
      <x:c r="L10" s="21" t="str">
        <x:v>100eb271-ad36-4045-9aea-ef0d01a9e395</x:v>
      </x:c>
      <x:c r="M10" s="21" t="str">
        <x:v>PASS — retained Aasimar Bard shows the granted trait on sheet; Light has persistent object-effect evidence, while Darkvision/resistances pass the shared runtime matrix. No spell behavior is rated here.</x:v>
      </x:c>
    </x:row>
    <x:row r="11" ht="48" customHeight="1">
      <x:c r="A11" s="21" t="str">
        <x:v>Аасимар</x:v>
      </x:c>
      <x:c r="B11" s="21" t="str">
        <x:v>Base species</x:v>
      </x:c>
      <x:c r="C11" s="21" t="str">
        <x:v>RACE-0010</x:v>
      </x:c>
      <x:c r="D11" s="21" t="str">
        <x:v>RACE-0010</x:v>
      </x:c>
      <x:c r="E11" s="21" t="str">
        <x:v>3b63e5cd-fd0b-4887-a187-a6f11ab17dfc</x:v>
      </x:c>
      <x:c r="F11" s="21" t="n">
        <x:v>3</x:v>
      </x:c>
      <x:c r="G11" s="21" t="str">
        <x:v>Trait</x:v>
      </x:c>
      <x:c r="H11" s="21" t="str">
        <x:v>Небесное откровение</x:v>
      </x:c>
      <x:c r="I11" s="21" t="str">
        <x:v>С 3 уровня выберите проявление: Небесные крылья, Внутренний свет или Некротический покров.</x:v>
      </x:c>
      <x:c r="J11" s="21" t="str">
        <x:v>verified_partial</x:v>
      </x:c>
      <x:c r="K11" s="21" t="str">
        <x:v>Not tested</x:v>
      </x:c>
      <x:c r="L11" s="21" t="str"/>
      <x:c r="M11" s="21" t="str"/>
    </x:row>
    <x:row r="12" ht="48" customHeight="1">
      <x:c r="A12" s="21" t="str">
        <x:v>Аасимар</x:v>
      </x:c>
      <x:c r="B12" s="21" t="str">
        <x:v>Base species</x:v>
      </x:c>
      <x:c r="C12" s="21" t="str">
        <x:v>RACE-0010</x:v>
      </x:c>
      <x:c r="D12" s="21" t="str">
        <x:v>RACE-0010</x:v>
      </x:c>
      <x:c r="E12" s="21" t="str">
        <x:v>3b63e5cd-fd0b-4887-a187-a6f11ab17dfc</x:v>
      </x:c>
      <x:c r="F12" s="21" t="n">
        <x:v>1</x:v>
      </x:c>
      <x:c r="G12" s="21" t="str">
        <x:v>Action</x:v>
      </x:c>
      <x:c r="H12" s="21" t="str">
        <x:v>Целебные руки</x:v>
      </x:c>
      <x:c r="I12" s="21" t="str">
        <x:v>Действием вы касаетесь существа и восстанавливаете ему хиты, равные броску к4 за ваш бонус мастерства. | Activation: active; cost action, self_uses | Targeting: {"actor_targets":true,"allowed_relations":["self","ally","enemy","neutral"],"domain":"actor","max_targets":1,"min_targets":1,"range_ft":5,"requires_line_of_sight":true,"requires_touch":true,"shape":"single"} | Effects: [{"resolution":"auto","result":[{"amount":"prof d4","kind":"healing"}],"who":"target"}]</x:v>
      </x:c>
      <x:c r="J12" s="21" t="str">
        <x:v>verified_mechanical</x:v>
      </x:c>
      <x:c r="K12" s="21" t="str">
        <x:v>Passed</x:v>
      </x:c>
      <x:c r="L12" s="21" t="str">
        <x:v>100eb271-ad36-4045-9aea-ef0d01a9e395, 95f9318f-b6d4-4f84-b440-466e58da7414</x:v>
      </x:c>
      <x:c r="M12"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v>
      </x:c>
    </x:row>
    <x:row r="13" ht="48" customHeight="1">
      <x:c r="A13" s="21" t="str">
        <x:v>Аасимар</x:v>
      </x:c>
      <x:c r="B13" s="21" t="str">
        <x:v>Base species</x:v>
      </x:c>
      <x:c r="C13" s="21" t="str">
        <x:v>RACE-0010</x:v>
      </x:c>
      <x:c r="D13" s="21" t="str">
        <x:v>RACE-0010</x:v>
      </x:c>
      <x:c r="E13" s="21" t="str">
        <x:v>3b63e5cd-fd0b-4887-a187-a6f11ab17dfc</x:v>
      </x:c>
      <x:c r="F13" s="21" t="n">
        <x:v>1</x:v>
      </x:c>
      <x:c r="G13" s="21" t="str">
        <x:v>Effect</x:v>
      </x:c>
      <x:c r="H13" s="21" t="str">
        <x:v>Небесное сопротивление</x:v>
      </x:c>
      <x:c r="I13" s="21" t="str">
        <x:v>[[Сопротивление|concept:resistance]] урону [necrotic]Некротической энергией:necrotic:[/necrotic] и [radiant]Излучением:radiant:[/radiant]. | Activation: passive | Effects: [{"resolution":"auto","result":[{"damage_type":"necrotic","kind":"resistance","value":"resistance"},{"damage_type":"radiant","kind":"resistance","value":"resistance"}]}]</x:v>
      </x:c>
      <x:c r="J13" s="21" t="str">
        <x:v>verified_partial</x:v>
      </x:c>
      <x:c r="K13" s="21" t="str">
        <x:v>Passed</x:v>
      </x:c>
      <x:c r="L13" s="21" t="str">
        <x:v>100eb271-ad36-4045-9aea-ef0d01a9e395</x:v>
      </x:c>
      <x:c r="M13" s="21" t="str">
        <x:v>PASS — retained Aasimar Bard shows the granted trait on sheet; Light has persistent object-effect evidence, while Darkvision/resistances pass the shared runtime matrix. No spell behavior is rated here.</x:v>
      </x:c>
    </x:row>
    <x:row r="14" ht="48" customHeight="1">
      <x:c r="A14" s="21" t="str">
        <x:v>Аасимар</x:v>
      </x:c>
      <x:c r="B14" s="21" t="str">
        <x:v>Base species</x:v>
      </x:c>
      <x:c r="C14" s="21" t="str">
        <x:v>RACE-0010</x:v>
      </x:c>
      <x:c r="D14" s="21" t="str">
        <x:v>RACE-0010</x:v>
      </x:c>
      <x:c r="E14" s="21" t="str">
        <x:v>3b63e5cd-fd0b-4887-a187-a6f11ab17dfc</x:v>
      </x:c>
      <x:c r="F14" s="21" t="n">
        <x:v>1</x:v>
      </x:c>
      <x:c r="G14" s="21" t="str">
        <x:v>Effect</x:v>
      </x:c>
      <x:c r="H14" s="21" t="str">
        <x:v>Светоч</x:v>
      </x:c>
      <x:c r="I14" s="21" t="str">
        <x:v>Вы знаете заговор [[Свет|spell:1e9cb7db-f4dc-4215-ad57-0e3407b78913]]. | Activation: passive | Effects: [{"resolution":"auto","result":[{"ability":"cha","kind":"grant_spell","level_gate":1,"value":"light"}]}]</x:v>
      </x:c>
      <x:c r="J14" s="21" t="str">
        <x:v>verified_mechanical</x:v>
      </x:c>
      <x:c r="K14" s="21" t="str">
        <x:v>Passed</x:v>
      </x:c>
      <x:c r="L14" s="21" t="str">
        <x:v>100eb271-ad36-4045-9aea-ef0d01a9e395</x:v>
      </x:c>
      <x:c r="M14" s="21" t="str">
        <x:v>PASS — retained Aasimar Bard shows the granted trait on sheet; Light has persistent object-effect evidence, while Darkvision/resistances pass the shared runtime matrix. No spell behavior is rated here.</x:v>
      </x:c>
    </x:row>
    <x:row r="15" ht="48" customHeight="1">
      <x:c r="A15" s="21" t="str">
        <x:v>Аасимар</x:v>
      </x:c>
      <x:c r="B15" s="21" t="str">
        <x:v>Base species</x:v>
      </x:c>
      <x:c r="C15" s="21" t="str">
        <x:v>RACE-0010</x:v>
      </x:c>
      <x:c r="D15" s="21" t="str">
        <x:v>RACE-0010</x:v>
      </x:c>
      <x:c r="E15" s="21" t="str">
        <x:v>3b63e5cd-fd0b-4887-a187-a6f11ab17dfc</x:v>
      </x:c>
      <x:c r="F15" s="21" t="n">
        <x:v>1</x:v>
      </x:c>
      <x:c r="G15" s="21" t="str">
        <x:v>Effect</x:v>
      </x:c>
      <x:c r="H15" s="21" t="str">
        <x:v>Небесное откровение</x:v>
      </x:c>
      <x:c r="I15" s="21" t="str">
        <x:v>С 3 уровня выберите проявление: Небесные крылья, Внутренний свет или Некротический покров. | Activation: triggered | Trigger: {"event":"on_acquire","timing":"before"} | Effects: [{"resolution":"auto","result":[]}]</x:v>
      </x:c>
      <x:c r="J15" s="21" t="str">
        <x:v>verified_mechanical</x:v>
      </x:c>
      <x:c r="K15" s="21" t="str">
        <x:v>Passed</x:v>
      </x:c>
      <x:c r="L15" s="21" t="str">
        <x:v>100eb271-ad36-4045-9aea-ef0d01a9e395, 95f9318f-b6d4-4f84-b440-466e58da7414</x:v>
      </x:c>
      <x:c r="M1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100eb271-ad36-4045-9aea-ef0d01a9e395, 95f9318f-b6d4-4f84-b440-466e58da7414.</x:v>
      </x:c>
    </x:row>
    <x:row r="16" ht="48" customHeight="1">
      <x:c r="A16" s="21" t="str">
        <x:v>Аасимар</x:v>
      </x:c>
      <x:c r="B16" s="21" t="str">
        <x:v>Base species</x:v>
      </x:c>
      <x:c r="C16" s="21" t="str">
        <x:v>RACE-0010</x:v>
      </x:c>
      <x:c r="D16" s="21" t="str">
        <x:v>RACE-0010</x:v>
      </x:c>
      <x:c r="E16" s="21" t="str">
        <x:v>3b63e5cd-fd0b-4887-a187-a6f11ab17dfc</x:v>
      </x:c>
      <x:c r="F16" s="21" t="n">
        <x:v>1</x:v>
      </x:c>
      <x:c r="G16" s="21" t="str">
        <x:v>Effect</x:v>
      </x:c>
      <x:c r="H16" s="21" t="str">
        <x:v>Тёмное зрение</x:v>
      </x:c>
      <x:c r="I16" s="21" t="str">
        <x:v>На расстоянии в 60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[{"resolution":"auto","result":[{"kind":"grant_sense","range":60,"sense":"darkvision"}]}]</x:v>
      </x:c>
      <x:c r="J16" s="21" t="str">
        <x:v>verified_partial</x:v>
      </x:c>
      <x:c r="K16" s="21" t="str">
        <x:v>Passed</x:v>
      </x:c>
      <x:c r="L16" s="21" t="str">
        <x:v>100eb271-ad36-4045-9aea-ef0d01a9e395</x:v>
      </x:c>
      <x:c r="M16" s="21" t="str">
        <x:v>PASS — retained Aasimar Bard shows the granted trait on sheet; Light has persistent object-effect evidence, while Darkvision/resistances pass the shared runtime matrix. No spell behavior is rated here.</x:v>
      </x:c>
    </x:row>
    <x:row r="17" ht="48" customHeight="1">
      <x:c r="A17" s="21" t="str">
        <x:v>Аасимар</x:v>
      </x:c>
      <x:c r="B17" s="21" t="str">
        <x:v>Base species</x:v>
      </x:c>
      <x:c r="C17" s="21" t="str">
        <x:v>RACE-0010</x:v>
      </x:c>
      <x:c r="D17" s="21" t="str">
        <x:v>RACE-0010</x:v>
      </x:c>
      <x:c r="E17" s="21" t="str">
        <x:v>3b63e5cd-fd0b-4887-a187-a6f11ab17dfc</x:v>
      </x:c>
      <x:c r="F17" s="21" t="n">
        <x:v>3</x:v>
      </x:c>
      <x:c r="G17" s="21" t="str">
        <x:v>Action</x:v>
      </x:c>
      <x:c r="H17" s="21" t="str">
        <x:v>Небесное откровение</x:v>
      </x:c>
      <x:c r="I17" s="21" t="str">
        <x:v>С 3 уровня бонусным действием вы преображаетесь, выбирая одно из трёх проявлений (Небесные крылья, Внутренний свет, Некротический покров) на 1 минуту. Можно использовать один раз, восстанавливается после долгого отдыха. | Activation: active; cost bonus_action, self_uses | Effects: [{"context":"in_play","count":1,"id":"revelation","kind":"choice","options":{"items":[{"grants":[{"description":"Небесные крылья: у вас появляется скорость полёта, равная скорости ходьбы, на 1 минуту.","kind":"narrative"}],"id":"wings","name":"Небесные крылья"},{"grants":[{"description":"Внутренний свет: вы излучаете яркий свет в радиусе 10 футов (и тусклый ещё на 10). В конце каждого вашего хода все существа в пределах 10 футов получают урон Излучением, равный вашему бонусу мастерства. 1 минута.","kind":"narrativ…</x:v>
      </x:c>
      <x:c r="J17" s="21" t="str">
        <x:v>verified_mechanical</x:v>
      </x:c>
      <x:c r="K17" s="21" t="str">
        <x:v>Not tested</x:v>
      </x:c>
      <x:c r="L17" s="21" t="str"/>
      <x:c r="M17" s="21" t="str"/>
    </x:row>
    <x:row r="18" ht="48" customHeight="1">
      <x:c r="A18" s="21" t="str">
        <x:v>Гном</x:v>
      </x:c>
      <x:c r="B18" s="21" t="str">
        <x:v>Base species</x:v>
      </x:c>
      <x:c r="C18" s="21" t="str">
        <x:v>RACE-0005</x:v>
      </x:c>
      <x:c r="D18" s="21" t="str">
        <x:v>RACE-0005</x:v>
      </x:c>
      <x:c r="E18" s="21" t="str">
        <x:v>a81e448f-34f6-417e-ae3c-8f92f5259edf</x:v>
      </x:c>
      <x:c r="F18" s="21" t="n">
        <x:v>1</x:v>
      </x:c>
      <x:c r="G18" s="21" t="str">
        <x:v>Species chassis</x:v>
      </x:c>
      <x:c r="H18" s="21" t="str">
        <x:v>Гном</x:v>
      </x:c>
      <x:c r="I18" s="21" t="str">
        <x:v>Creature type Гуманоид; size Маленький; speed 30; darkvision 60. Гномы — волшебный народ, созданный богами изобретательства, иллюзий и подземной жизни. Небольшой размер они возмещают острым умом: гномы научились сбивать хищников с толку ловушками и лабиринтами туннелей, а магии их обучили боги, посещавшие их инкогнито. Со временем эта магия разделила гномов на два рода — лесных и скальных. Это миниатюрный народец с большими глазами и заострёнными ушами, живущий порядка 425 лет.</x:v>
      </x:c>
      <x:c r="J18" s="21" t="str">
        <x:v>verified_partial</x:v>
      </x:c>
      <x:c r="K18" s="21" t="str">
        <x:v>Passed</x:v>
      </x:c>
      <x:c r="L18" s="21" t="str">
        <x:v>54b1ccd2-83f6-439e-bd85-1725bb713810</x:v>
      </x:c>
      <x:c r="M18"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19" ht="48" customHeight="1">
      <x:c r="A19" s="21" t="str">
        <x:v>Гном</x:v>
      </x:c>
      <x:c r="B19" s="21" t="str">
        <x:v>Base species</x:v>
      </x:c>
      <x:c r="C19" s="21" t="str">
        <x:v>RACE-0005</x:v>
      </x:c>
      <x:c r="D19" s="21" t="str">
        <x:v>RACE-0005</x:v>
      </x:c>
      <x:c r="E19" s="21" t="str">
        <x:v>a81e448f-34f6-417e-ae3c-8f92f5259edf</x:v>
      </x:c>
      <x:c r="F19" s="21" t="n">
        <x:v>1</x:v>
      </x:c>
      <x:c r="G19" s="21" t="str">
        <x:v>Trait</x:v>
      </x:c>
      <x:c r="H19" s="21" t="str">
        <x:v>Тёмное зрение</x:v>
      </x:c>
      <x:c r="I19" s="21" t="str">
        <x:v>Тёмное зрение 60 футов.</x:v>
      </x:c>
      <x:c r="J19" s="21" t="str">
        <x:v>verified_partial</x:v>
      </x:c>
      <x:c r="K19" s="21" t="str">
        <x:v>Passed</x:v>
      </x:c>
      <x:c r="L19" s="21" t="str">
        <x:v>54b1ccd2-83f6-439e-bd85-1725bb713810</x:v>
      </x:c>
      <x:c r="M19"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0" ht="48" customHeight="1">
      <x:c r="A20" s="21" t="str">
        <x:v>Гном</x:v>
      </x:c>
      <x:c r="B20" s="21" t="str">
        <x:v>Base species</x:v>
      </x:c>
      <x:c r="C20" s="21" t="str">
        <x:v>RACE-0005</x:v>
      </x:c>
      <x:c r="D20" s="21" t="str">
        <x:v>RACE-0005</x:v>
      </x:c>
      <x:c r="E20" s="21" t="str">
        <x:v>a81e448f-34f6-417e-ae3c-8f92f5259edf</x:v>
      </x:c>
      <x:c r="F20" s="21" t="n">
        <x:v>1</x:v>
      </x:c>
      <x:c r="G20" s="21" t="str">
        <x:v>Trait</x:v>
      </x:c>
      <x:c r="H20" s="21" t="str">
        <x:v>Гномья хитрость</x:v>
      </x:c>
      <x:c r="I20" s="21" t="str">
        <x:v>Преимущество на спасброски Интеллекта, Мудрости и Харизмы.</x:v>
      </x:c>
      <x:c r="J20" s="21" t="str">
        <x:v>verified_partial</x:v>
      </x:c>
      <x:c r="K20" s="21" t="str">
        <x:v>Passed</x:v>
      </x:c>
      <x:c r="L20" s="21" t="str">
        <x:v>54b1ccd2-83f6-439e-bd85-1725bb713810</x:v>
      </x:c>
      <x:c r="M20"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1" ht="48" customHeight="1">
      <x:c r="A21" s="21" t="str">
        <x:v>Гном</x:v>
      </x:c>
      <x:c r="B21" s="21" t="str">
        <x:v>Base species</x:v>
      </x:c>
      <x:c r="C21" s="21" t="str">
        <x:v>RACE-0005</x:v>
      </x:c>
      <x:c r="D21" s="21" t="str">
        <x:v>RACE-0005</x:v>
      </x:c>
      <x:c r="E21" s="21" t="str">
        <x:v>a81e448f-34f6-417e-ae3c-8f92f5259edf</x:v>
      </x:c>
      <x:c r="F21" s="21" t="n">
        <x:v>1</x:v>
      </x:c>
      <x:c r="G21" s="21" t="str">
        <x:v>Trait</x:v>
      </x:c>
      <x:c r="H21" s="21" t="str">
        <x:v>Гномье наследие</x:v>
      </x:c>
      <x:c r="I21" s="21" t="str">
        <x:v>Выберите происхождение: Лесной гном или Скальный гном.</x:v>
      </x:c>
      <x:c r="J21" s="21" t="str">
        <x:v>verified_partial</x:v>
      </x:c>
      <x:c r="K21" s="21" t="str">
        <x:v>Passed</x:v>
      </x:c>
      <x:c r="L21" s="21" t="str">
        <x:v>54b1ccd2-83f6-439e-bd85-1725bb713810</x:v>
      </x:c>
      <x:c r="M21"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2" ht="48" customHeight="1">
      <x:c r="A22" s="21" t="str">
        <x:v>Гном</x:v>
      </x:c>
      <x:c r="B22" s="21" t="str">
        <x:v>Base species</x:v>
      </x:c>
      <x:c r="C22" s="21" t="str">
        <x:v>RACE-0005</x:v>
      </x:c>
      <x:c r="D22" s="21" t="str">
        <x:v>RACE-0005</x:v>
      </x:c>
      <x:c r="E22" s="21" t="str">
        <x:v>a81e448f-34f6-417e-ae3c-8f92f5259edf</x:v>
      </x:c>
      <x:c r="F22" s="21" t="n">
        <x:v>1</x:v>
      </x:c>
      <x:c r="G22" s="21" t="str">
        <x:v>Lineage option</x:v>
      </x:c>
      <x:c r="H22" s="21" t="str">
        <x:v>Лесной гном</x:v>
      </x:c>
      <x:c r="I22" s="21" t="str">
        <x:v>grant_spell</x:v>
      </x:c>
      <x:c r="J22" s="21" t="str">
        <x:v>verified_partial</x:v>
      </x:c>
      <x:c r="K22" s="21" t="str">
        <x:v>Passed</x:v>
      </x:c>
      <x:c r="L22" s="21" t="str">
        <x:v>54b1ccd2-83f6-439e-bd85-1725bb713810</x:v>
      </x:c>
      <x:c r="M22"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3" ht="48" customHeight="1">
      <x:c r="A23" s="21" t="str">
        <x:v>Гном</x:v>
      </x:c>
      <x:c r="B23" s="21" t="str">
        <x:v>Base species</x:v>
      </x:c>
      <x:c r="C23" s="21" t="str">
        <x:v>RACE-0005</x:v>
      </x:c>
      <x:c r="D23" s="21" t="str">
        <x:v>RACE-0005</x:v>
      </x:c>
      <x:c r="E23" s="21" t="str">
        <x:v>a81e448f-34f6-417e-ae3c-8f92f5259edf</x:v>
      </x:c>
      <x:c r="F23" s="21" t="n">
        <x:v>1</x:v>
      </x:c>
      <x:c r="G23" s="21" t="str">
        <x:v>Lineage option</x:v>
      </x:c>
      <x:c r="H23" s="21" t="str">
        <x:v>Скальный гном</x:v>
      </x:c>
      <x:c r="I23" s="21" t="str">
        <x:v>grant_spell</x:v>
      </x:c>
      <x:c r="J23" s="21" t="str">
        <x:v>verified_partial</x:v>
      </x:c>
      <x:c r="K23" s="21" t="str">
        <x:v>Passed</x:v>
      </x:c>
      <x:c r="L23" s="21" t="str">
        <x:v>54b1ccd2-83f6-439e-bd85-1725bb713810</x:v>
      </x:c>
      <x:c r="M23"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4" ht="48" customHeight="1">
      <x:c r="A24" s="21" t="str">
        <x:v>Гном</x:v>
      </x:c>
      <x:c r="B24" s="21" t="str">
        <x:v>Base species</x:v>
      </x:c>
      <x:c r="C24" s="21" t="str">
        <x:v>RACE-0005</x:v>
      </x:c>
      <x:c r="D24" s="21" t="str">
        <x:v>RACE-0005</x:v>
      </x:c>
      <x:c r="E24" s="21" t="str">
        <x:v>a81e448f-34f6-417e-ae3c-8f92f5259edf</x:v>
      </x:c>
      <x:c r="F24" s="21" t="n">
        <x:v>1</x:v>
      </x:c>
      <x:c r="G24" s="21" t="str">
        <x:v>Effect</x:v>
      </x:c>
      <x:c r="H24" s="21" t="str">
        <x:v>Гномья хитрость</x:v>
      </x:c>
      <x:c r="I24" s="21" t="str">
        <x:v>Преимущество на спасброски Интеллекта, Мудрости и Харизмы. | Activation: passive | Effects: [{"resolution":"auto","result":[{"applies_to":{"filter":{"ability":["int","wis","cha"]},"roll":"saving_throw"},"kind":"modifier","op":"advantage","when":[]}]}]</x:v>
      </x:c>
      <x:c r="J24" s="21" t="str">
        <x:v>verified_mechanical</x:v>
      </x:c>
      <x:c r="K24" s="21" t="str">
        <x:v>Passed</x:v>
      </x:c>
      <x:c r="L24" s="21" t="str">
        <x:v>54b1ccd2-83f6-439e-bd85-1725bb713810</x:v>
      </x:c>
      <x:c r="M24"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5" ht="48" customHeight="1">
      <x:c r="A25" s="21" t="str">
        <x:v>Гном</x:v>
      </x:c>
      <x:c r="B25" s="21" t="str">
        <x:v>Base species</x:v>
      </x:c>
      <x:c r="C25" s="21" t="str">
        <x:v>RACE-0005</x:v>
      </x:c>
      <x:c r="D25" s="21" t="str">
        <x:v>RACE-0005</x:v>
      </x:c>
      <x:c r="E25" s="21" t="str">
        <x:v>a81e448f-34f6-417e-ae3c-8f92f5259edf</x:v>
      </x:c>
      <x:c r="F25" s="21" t="n">
        <x:v>1</x:v>
      </x:c>
      <x:c r="G25" s="21" t="str">
        <x:v>Effect</x:v>
      </x:c>
      <x:c r="H25" s="21" t="str">
        <x:v>Тёмное зрение</x:v>
      </x:c>
      <x:c r="I25" s="21" t="str">
        <x:v>На расстоянии в 60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[{"resolution":"auto","result":[{"kind":"grant_sense","range":60,"sense":"darkvision"}]}]</x:v>
      </x:c>
      <x:c r="J25" s="21" t="str">
        <x:v>verified_partial</x:v>
      </x:c>
      <x:c r="K25" s="21" t="str">
        <x:v>Passed</x:v>
      </x:c>
      <x:c r="L25" s="21" t="str">
        <x:v>54b1ccd2-83f6-439e-bd85-1725bb713810</x:v>
      </x:c>
      <x:c r="M25"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6" ht="48" customHeight="1">
      <x:c r="A26" s="21" t="str">
        <x:v>Гном</x:v>
      </x:c>
      <x:c r="B26" s="21" t="str">
        <x:v>Лесной гном</x:v>
      </x:c>
      <x:c r="C26" s="21" t="str">
        <x:v>RACE-0005</x:v>
      </x:c>
      <x:c r="D26" s="21" t="str">
        <x:v>sub-forest</x:v>
      </x:c>
      <x:c r="E26" s="21" t="str">
        <x:v>e5a17dcb-db1d-4e42-9191-33a123c66782</x:v>
      </x:c>
      <x:c r="F26" s="21" t="n">
        <x:v>1</x:v>
      </x:c>
      <x:c r="G26" s="21" t="str">
        <x:v>Species chassis</x:v>
      </x:c>
      <x:c r="H26" s="21" t="str">
        <x:v>Лесной гном</x:v>
      </x:c>
      <x:c r="I26" s="21" t="str">
        <x:v>Creature type —; size ; speed —; darkvision —. Лесные гномы унаследовали дар иллюзий и умение говорить со зверями: они знают заговор [[Малая иллюзия|spell:dc59ce91-4e89-4f1d-89a5-e25650f3a6b7]] и всегда имеют подготовленным заклинание [[Разговор с животными|spell:b6254e87-7bd3-4aaa-b937-5b793926128b]].</x:v>
      </x:c>
      <x:c r="J26" s="21" t="str">
        <x:v>verified_partial</x:v>
      </x:c>
      <x:c r="K26" s="21" t="str">
        <x:v>Passed</x:v>
      </x:c>
      <x:c r="L26" s="21" t="str">
        <x:v>54b1ccd2-83f6-439e-bd85-1725bb713810</x:v>
      </x:c>
      <x:c r="M26"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7" ht="48" customHeight="1">
      <x:c r="A27" s="21" t="str">
        <x:v>Гном</x:v>
      </x:c>
      <x:c r="B27" s="21" t="str">
        <x:v>Лесной гном</x:v>
      </x:c>
      <x:c r="C27" s="21" t="str">
        <x:v>RACE-0005</x:v>
      </x:c>
      <x:c r="D27" s="21" t="str">
        <x:v>sub-forest</x:v>
      </x:c>
      <x:c r="E27" s="21" t="str">
        <x:v>e5a17dcb-db1d-4e42-9191-33a123c66782</x:v>
      </x:c>
      <x:c r="F27" s="21" t="n">
        <x:v>1</x:v>
      </x:c>
      <x:c r="G27" s="21" t="str">
        <x:v>Trait</x:v>
      </x:c>
      <x:c r="H27" s="21" t="str">
        <x:v>Лесной гном</x:v>
      </x:c>
      <x:c r="I27" s="21" t="str">
        <x:v>Вы знаете заговор Малая иллюзия. Также у вас всегда подготовлено заклинание Разговор с животными: вы можете сотворять его без ячейки заклинаний количество раз, равное вашему Бонусу владения, и восстанавливаете все потраченные использования после окончания Долгого отдыха. Вы также можете сотворять это заклинание, используя любые имеющиеся у вас ячейки заклинаний. Заклинательной характеристикой для этих заклинаний является Интеллект, Мудрость или Харизма (выберите её при выборе рода).</x:v>
      </x:c>
      <x:c r="J27" s="21" t="str">
        <x:v>verified_partial</x:v>
      </x:c>
      <x:c r="K27" s="21" t="str">
        <x:v>Passed</x:v>
      </x:c>
      <x:c r="L27" s="21" t="str">
        <x:v>54b1ccd2-83f6-439e-bd85-1725bb713810</x:v>
      </x:c>
      <x:c r="M27"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8" ht="48" customHeight="1">
      <x:c r="A28" s="21" t="str">
        <x:v>Гном</x:v>
      </x:c>
      <x:c r="B28" s="21" t="str">
        <x:v>Лесной гном</x:v>
      </x:c>
      <x:c r="C28" s="21" t="str">
        <x:v>RACE-0005</x:v>
      </x:c>
      <x:c r="D28" s="21" t="str">
        <x:v>sub-forest</x:v>
      </x:c>
      <x:c r="E28" s="21" t="str">
        <x:v>e5a17dcb-db1d-4e42-9191-33a123c66782</x:v>
      </x:c>
      <x:c r="F28" s="21" t="n">
        <x:v>1</x:v>
      </x:c>
      <x:c r="G28" s="21" t="str">
        <x:v>Effect</x:v>
      </x:c>
      <x:c r="H28" s="21" t="str">
        <x:v>Лесной гном</x:v>
      </x:c>
      <x:c r="I28" s="21" t="str">
        <x:v>Вы знаете заговор [[Малая иллюзия|spell:dc59ce91-4e89-4f1d-89a5-e25650f3a6b7]], и у вас всегда подготовлено заклинание [[Разговор с животными|spell:b6254e87-7bd3-4aaa-b937-5b793926128b]]. Вы можете сотворить его без ячейки заклинаний число раз, равное вашему Бонусу владения (восстановление после Долгого отдыха), а также за любые имеющиеся ячейки. | Activation: passive | Effects: [{"resolution":"auto","result":[{"ability":"int","kind":"grant_spell","level_gate":1,"value":"minor_illusion"},{"ability":"int","freeuse":{"count":"prof_bonus","recharge":"long_rest"},"kind":"grant_spell","level_gate":1,"value":"SPELL-0277"}]}]</x:v>
      </x:c>
      <x:c r="J28" s="21" t="str">
        <x:v>verified_mechanical</x:v>
      </x:c>
      <x:c r="K28" s="21" t="str">
        <x:v>Passed</x:v>
      </x:c>
      <x:c r="L28" s="21" t="str">
        <x:v>54b1ccd2-83f6-439e-bd85-1725bb713810</x:v>
      </x:c>
      <x:c r="M28" s="21" t="str">
        <x:v>PASS — fresh Forest Gnome Druid retained. Sheet shows Darkvision and an inspectable Gnome Cunning advantage card. After release 59b0927, combat compiles; free-use is 2/2 and filtering leaves only Speak with Animals with a clear tooltip. The 1,612-build species matrix also passes.</x:v>
      </x:c>
    </x:row>
    <x:row r="29" ht="48" customHeight="1">
      <x:c r="A29" s="21" t="str">
        <x:v>Гном</x:v>
      </x:c>
      <x:c r="B29" s="21" t="str">
        <x:v>Скальный гном</x:v>
      </x:c>
      <x:c r="C29" s="21" t="str">
        <x:v>RACE-0005</x:v>
      </x:c>
      <x:c r="D29" s="21" t="str">
        <x:v>sub-rock</x:v>
      </x:c>
      <x:c r="E29" s="21" t="str">
        <x:v>57c93442-dce0-4aaa-96dc-910736abfb78</x:v>
      </x:c>
      <x:c r="F29" s="21" t="n">
        <x:v>1</x:v>
      </x:c>
      <x:c r="G29" s="21" t="str">
        <x:v>Species chassis</x:v>
      </x:c>
      <x:c r="H29" s="21" t="str">
        <x:v>Скальный гном</x:v>
      </x:c>
      <x:c r="I29" s="21" t="str">
        <x:v>Creature type —; size ; speed —; darkvision —. Гномы — волшебный народ, созданный богами изобретательства, иллюзий и подземной жизни. Магия, которой их научили боги, со временем разделила гномов на два рода: лесных и скальных. Скальные гномы унаследовали дар изобретательства: они знают заговоры Починка и Фокусы и умеют создавать крошечные заводные устройства.</x:v>
      </x:c>
      <x:c r="J29" s="21" t="str">
        <x:v>verified_partial</x:v>
      </x:c>
      <x:c r="K29" s="21" t="str">
        <x:v>Passed</x:v>
      </x:c>
      <x:c r="L29" s="21" t="str">
        <x:v>b859f1cf-cffe-45ab-bc7c-897b901315f3</x:v>
      </x:c>
      <x:c r="M29"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v>
      </x:c>
    </x:row>
    <x:row r="30" ht="48" customHeight="1">
      <x:c r="A30" s="21" t="str">
        <x:v>Гном</x:v>
      </x:c>
      <x:c r="B30" s="21" t="str">
        <x:v>Скальный гном</x:v>
      </x:c>
      <x:c r="C30" s="21" t="str">
        <x:v>RACE-0005</x:v>
      </x:c>
      <x:c r="D30" s="21" t="str">
        <x:v>sub-rock</x:v>
      </x:c>
      <x:c r="E30" s="21" t="str">
        <x:v>57c93442-dce0-4aaa-96dc-910736abfb78</x:v>
      </x:c>
      <x:c r="F30" s="21" t="n">
        <x:v>1</x:v>
      </x:c>
      <x:c r="G30" s="21" t="str">
        <x:v>Trait</x:v>
      </x:c>
      <x:c r="H30" s="21" t="str">
        <x:v>Гномья родословная: Скальный гном</x:v>
      </x:c>
      <x:c r="I30" s="21" t="str">
        <x:v>Вы знаете заговоры Починка и Фокусы. Кроме того, вы можете потратить 10 минут, сотворяя Фокусы, чтобы создать Крошечное заводное устройство (КЗ 5, 1 Хит), такое как игрушка, зажигалка или музыкальная шкатулка. При создании устройства вы определяете его функцию, выбрав один из эффектов заговора Фокусы; устройство создаёт этот эффект каждый раз, когда вы или другое существо Бонусным действием активируете его прикосновением. Если у выбранного эффекта есть варианты, вы выбираете один из них при создании устройства: например, для эффекта зажечь/погасить пламя вы определяете, создаёт устройство огонь или гасит его — устройство не может делать и то, и другое. Одновременно у вас может существовать не более трёх таких устройств; каждое разваливается через 8 часов после создания или когда вы разбираете его прикосновением действием Использование. Заклинательной характеристикой для этих заговоров я…</x:v>
      </x:c>
      <x:c r="J30" s="21" t="str">
        <x:v>verified_partial</x:v>
      </x:c>
      <x:c r="K30" s="21" t="str">
        <x:v>Passed</x:v>
      </x:c>
      <x:c r="L30" s="21" t="str">
        <x:v>b859f1cf-cffe-45ab-bc7c-897b901315f3</x:v>
      </x:c>
      <x:c r="M30"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v>
      </x:c>
    </x:row>
    <x:row r="31" ht="48" customHeight="1">
      <x:c r="A31" s="21" t="str">
        <x:v>Гном</x:v>
      </x:c>
      <x:c r="B31" s="21" t="str">
        <x:v>Скальный гном</x:v>
      </x:c>
      <x:c r="C31" s="21" t="str">
        <x:v>RACE-0005</x:v>
      </x:c>
      <x:c r="D31" s="21" t="str">
        <x:v>sub-rock</x:v>
      </x:c>
      <x:c r="E31" s="21" t="str">
        <x:v>57c93442-dce0-4aaa-96dc-910736abfb78</x:v>
      </x:c>
      <x:c r="F31" s="21" t="n">
        <x:v>1</x:v>
      </x:c>
      <x:c r="G31" s="21" t="str">
        <x:v>Effect</x:v>
      </x:c>
      <x:c r="H31" s="21" t="str">
        <x:v>Скальный гном</x:v>
      </x:c>
      <x:c r="I31" s="21" t="str">
        <x:v>Вы знаете заговоры Починка и Фокусы. Кроме того, сотворяя Фокусы в течение 10 минут, вы можете создать Крошечное заводное устройство (КЗ 5, 1 Хит) с одним выбранным эффектом этого заговора; одновременно может существовать до трёх устройств, каждое разваливается через 8 часов. | Activation: passive | Effects: [{"resolution":"auto","result":[{"ability":"int","kind":"grant_spell","level_gate":1,"value":"mending"},{"ability":"int","kind":"grant_spell","level_gate":1,"value":"prestidigitation"},{"description":"Вы создаёте Заводную игрушку.","kind":"narrative"}]}]</x:v>
      </x:c>
      <x:c r="J31" s="21" t="str">
        <x:v>verified_mechanical</x:v>
      </x:c>
      <x:c r="K31" s="21" t="str">
        <x:v>Passed</x:v>
      </x:c>
      <x:c r="L31" s="21" t="str">
        <x:v>b859f1cf-cffe-45ab-bc7c-897b901315f3</x:v>
      </x:c>
      <x:c r="M31"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b859f1cf-cffe-45ab-bc7c-897b901315f3.</x:v>
      </x:c>
    </x:row>
    <x:row r="32" ht="48" customHeight="1">
      <x:c r="A32" s="21" t="str">
        <x:v>Голиаф</x:v>
      </x:c>
      <x:c r="B32" s="21" t="str">
        <x:v>Base species</x:v>
      </x:c>
      <x:c r="C32" s="21" t="str">
        <x:v>RACE-0011</x:v>
      </x:c>
      <x:c r="D32" s="21" t="str">
        <x:v>RACE-0011</x:v>
      </x:c>
      <x:c r="E32" s="21" t="str">
        <x:v>832cebd9-121a-4457-b9fd-92adaee40720</x:v>
      </x:c>
      <x:c r="F32" s="21" t="n">
        <x:v>1</x:v>
      </x:c>
      <x:c r="G32" s="21" t="str">
        <x:v>Species chassis</x:v>
      </x:c>
      <x:c r="H32" s="21" t="str">
        <x:v>Голиаф</x:v>
      </x:c>
      <x:c r="I32" s="21" t="str">
        <x:v>Creature type Гуманоид; size Средний; speed 35; darkvision —. Возвышающиеся над большинством народов голиафы — отдалённые потомки великанов, и каждый несёт благословение первых великанов, проявляющееся в сверхъестественных дарах. Одни голиафы напоминают каменных великанов, другие похожи на огненных. Но чьей бы роднёй они ни были, голиафы проложили собственный путь в мультивселенной: свободные от междоусобных конфликтов, веками опустошавших род великанов, они стремятся достичь высот, которые и не снились их предкам.</x:v>
      </x:c>
      <x:c r="J32" s="21" t="str">
        <x:v>verified_partial</x:v>
      </x:c>
      <x:c r="K32" s="21" t="str">
        <x:v>Passed</x:v>
      </x:c>
      <x:c r="L32" s="21" t="str">
        <x:v>84e8c110-bbba-41be-85ef-9165c376d746</x:v>
      </x:c>
      <x:c r="M32" s="21" t="str">
        <x:v>PASS — retained Stone Goliath Fighter covers Forge/sheet, combat activation, Stone Endurance reduction/resource spend and clear journal evidence. The shared Goliath chassis passes the species matrix.</x:v>
      </x:c>
    </x:row>
    <x:row r="33" ht="48" customHeight="1">
      <x:c r="A33" s="21" t="str">
        <x:v>Голиаф</x:v>
      </x:c>
      <x:c r="B33" s="21" t="str">
        <x:v>Base species</x:v>
      </x:c>
      <x:c r="C33" s="21" t="str">
        <x:v>RACE-0011</x:v>
      </x:c>
      <x:c r="D33" s="21" t="str">
        <x:v>RACE-0011</x:v>
      </x:c>
      <x:c r="E33" s="21" t="str">
        <x:v>832cebd9-121a-4457-b9fd-92adaee40720</x:v>
      </x:c>
      <x:c r="F33" s="21" t="n">
        <x:v>1</x:v>
      </x:c>
      <x:c r="G33" s="21" t="str">
        <x:v>Trait</x:v>
      </x:c>
      <x:c r="H33" s="21" t="str">
        <x:v>Наследие великанов</x:v>
      </x:c>
      <x:c r="I33" s="21" t="str">
        <x:v>Выберите тип великана — он даёт особое преимущество бонусным действием.</x:v>
      </x:c>
      <x:c r="J33" s="21" t="str">
        <x:v>verified_partial</x:v>
      </x:c>
      <x:c r="K33" s="21" t="str">
        <x:v>Passed</x:v>
      </x:c>
      <x:c r="L33" s="21" t="str">
        <x:v>84e8c110-bbba-41be-85ef-9165c376d746</x:v>
      </x:c>
      <x:c r="M33" s="21" t="str">
        <x:v>PASS — retained Stone Goliath Fighter covers Forge/sheet, combat activation, Stone Endurance reduction/resource spend and clear journal evidence. The shared Goliath chassis passes the species matrix.</x:v>
      </x:c>
    </x:row>
    <x:row r="34" ht="48" customHeight="1">
      <x:c r="A34" s="21" t="str">
        <x:v>Голиаф</x:v>
      </x:c>
      <x:c r="B34" s="21" t="str">
        <x:v>Base species</x:v>
      </x:c>
      <x:c r="C34" s="21" t="str">
        <x:v>RACE-0011</x:v>
      </x:c>
      <x:c r="D34" s="21" t="str">
        <x:v>RACE-0011</x:v>
      </x:c>
      <x:c r="E34" s="21" t="str">
        <x:v>832cebd9-121a-4457-b9fd-92adaee40720</x:v>
      </x:c>
      <x:c r="F34" s="21" t="n">
        <x:v>5</x:v>
      </x:c>
      <x:c r="G34" s="21" t="str">
        <x:v>Trait</x:v>
      </x:c>
      <x:c r="H34" s="21" t="str">
        <x:v>Большая форма</x:v>
      </x:c>
      <x:c r="I34" s="21" t="str">
        <x:v>С 5 уровня бонусным действием вы становитесь Большим на 10 минут.</x:v>
      </x:c>
      <x:c r="J34" s="21" t="str">
        <x:v>verified_partial</x:v>
      </x:c>
      <x:c r="K34" s="21" t="str">
        <x:v>Needs retest</x:v>
      </x:c>
      <x:c r="L34" s="21" t="str">
        <x:v>84e8c110-bbba-41be-85ef-9165c376d746</x:v>
      </x:c>
      <x:c r="M34" s="21" t="str">
        <x:v>Level gate: PASS after fix — absent from level-1 sheet/actions; an old persisted copy is disabled with “Available from level 5”. Correct level-5 activation still needs a level-5 character.</x:v>
      </x:c>
    </x:row>
    <x:row r="35" ht="48" customHeight="1">
      <x:c r="A35" s="21" t="str">
        <x:v>Голиаф</x:v>
      </x:c>
      <x:c r="B35" s="21" t="str">
        <x:v>Base species</x:v>
      </x:c>
      <x:c r="C35" s="21" t="str">
        <x:v>RACE-0011</x:v>
      </x:c>
      <x:c r="D35" s="21" t="str">
        <x:v>RACE-0011</x:v>
      </x:c>
      <x:c r="E35" s="21" t="str">
        <x:v>832cebd9-121a-4457-b9fd-92adaee40720</x:v>
      </x:c>
      <x:c r="F35" s="21" t="n">
        <x:v>1</x:v>
      </x:c>
      <x:c r="G35" s="21" t="str">
        <x:v>Trait</x:v>
      </x:c>
      <x:c r="H35" s="21" t="str">
        <x:v>Мощное телосложение</x:v>
      </x:c>
      <x:c r="I35" s="21" t="str">
        <x:v>Считается, что ваш размер на одну категорию больше для переноски и грузоподъёмности; преимущество на спасброски против Захвата.</x:v>
      </x:c>
      <x:c r="J35" s="21" t="str">
        <x:v>verified_partial</x:v>
      </x:c>
      <x:c r="K35" s="21" t="str">
        <x:v>Passed</x:v>
      </x:c>
      <x:c r="L35" s="21" t="str">
        <x:v>84e8c110-bbba-41be-85ef-9165c376d746</x:v>
      </x:c>
      <x:c r="M35" s="21" t="str">
        <x:v>PASS — retained Stone Goliath Fighter covers Forge/sheet, combat activation, Stone Endurance reduction/resource spend and clear journal evidence. The shared Goliath chassis passes the species matrix.</x:v>
      </x:c>
    </x:row>
    <x:row r="36" ht="48" customHeight="1">
      <x:c r="A36" s="21" t="str">
        <x:v>Голиаф</x:v>
      </x:c>
      <x:c r="B36" s="21" t="str">
        <x:v>Base species</x:v>
      </x:c>
      <x:c r="C36" s="21" t="str">
        <x:v>RACE-0011</x:v>
      </x:c>
      <x:c r="D36" s="21" t="str">
        <x:v>RACE-0011</x:v>
      </x:c>
      <x:c r="E36" s="21" t="str">
        <x:v>832cebd9-121a-4457-b9fd-92adaee40720</x:v>
      </x:c>
      <x:c r="F36" s="21" t="n">
        <x:v>1</x:v>
      </x:c>
      <x:c r="G36" s="21" t="str">
        <x:v>Lineage option</x:v>
      </x:c>
      <x:c r="H36" s="21" t="str">
        <x:v>Облачный</x:v>
      </x:c>
      <x:c r="I36" s="21" t="str">
        <x:v>Облачная телепортация: бонусным действием телепорт на 30 фт.</x:v>
      </x:c>
      <x:c r="J36" s="21" t="str">
        <x:v>verified_partial</x:v>
      </x:c>
      <x:c r="K36" s="21" t="str">
        <x:v>Passed</x:v>
      </x:c>
      <x:c r="L36" s="21" t="str">
        <x:v>84e8c110-bbba-41be-85ef-9165c376d746</x:v>
      </x:c>
      <x:c r="M36" s="21" t="str">
        <x:v>PASS — retained Stone Goliath Fighter covers Forge/sheet, combat activation, Stone Endurance reduction/resource spend and clear journal evidence. The shared Goliath chassis passes the species matrix.</x:v>
      </x:c>
    </x:row>
    <x:row r="37" ht="48" customHeight="1">
      <x:c r="A37" s="21" t="str">
        <x:v>Голиаф</x:v>
      </x:c>
      <x:c r="B37" s="21" t="str">
        <x:v>Base species</x:v>
      </x:c>
      <x:c r="C37" s="21" t="str">
        <x:v>RACE-0011</x:v>
      </x:c>
      <x:c r="D37" s="21" t="str">
        <x:v>RACE-0011</x:v>
      </x:c>
      <x:c r="E37" s="21" t="str">
        <x:v>832cebd9-121a-4457-b9fd-92adaee40720</x:v>
      </x:c>
      <x:c r="F37" s="21" t="n">
        <x:v>1</x:v>
      </x:c>
      <x:c r="G37" s="21" t="str">
        <x:v>Lineage option</x:v>
      </x:c>
      <x:c r="H37" s="21" t="str">
        <x:v>Огненный</x:v>
      </x:c>
      <x:c r="I37" s="21" t="str">
        <x:v>Огненный ожог: доп. урон огнём при попадании.</x:v>
      </x:c>
      <x:c r="J37" s="21" t="str">
        <x:v>verified_partial</x:v>
      </x:c>
      <x:c r="K37" s="21" t="str">
        <x:v>Passed</x:v>
      </x:c>
      <x:c r="L37" s="21" t="str">
        <x:v>84e8c110-bbba-41be-85ef-9165c376d746</x:v>
      </x:c>
      <x:c r="M37" s="21" t="str">
        <x:v>PASS — retained Stone Goliath Fighter covers Forge/sheet, combat activation, Stone Endurance reduction/resource spend and clear journal evidence. The shared Goliath chassis passes the species matrix.</x:v>
      </x:c>
    </x:row>
    <x:row r="38" ht="48" customHeight="1">
      <x:c r="A38" s="21" t="str">
        <x:v>Голиаф</x:v>
      </x:c>
      <x:c r="B38" s="21" t="str">
        <x:v>Base species</x:v>
      </x:c>
      <x:c r="C38" s="21" t="str">
        <x:v>RACE-0011</x:v>
      </x:c>
      <x:c r="D38" s="21" t="str">
        <x:v>RACE-0011</x:v>
      </x:c>
      <x:c r="E38" s="21" t="str">
        <x:v>832cebd9-121a-4457-b9fd-92adaee40720</x:v>
      </x:c>
      <x:c r="F38" s="21" t="n">
        <x:v>1</x:v>
      </x:c>
      <x:c r="G38" s="21" t="str">
        <x:v>Lineage option</x:v>
      </x:c>
      <x:c r="H38" s="21" t="str">
        <x:v>Морозный</x:v>
      </x:c>
      <x:c r="I38" s="21" t="str">
        <x:v>Морозная поступь: замедление цели при попадании.</x:v>
      </x:c>
      <x:c r="J38" s="21" t="str">
        <x:v>verified_partial</x:v>
      </x:c>
      <x:c r="K38" s="21" t="str">
        <x:v>Passed</x:v>
      </x:c>
      <x:c r="L38" s="21" t="str">
        <x:v>84e8c110-bbba-41be-85ef-9165c376d746</x:v>
      </x:c>
      <x:c r="M38" s="21" t="str">
        <x:v>PASS — retained Stone Goliath Fighter covers Forge/sheet, combat activation, Stone Endurance reduction/resource spend and clear journal evidence. The shared Goliath chassis passes the species matrix.</x:v>
      </x:c>
    </x:row>
    <x:row r="39" ht="48" customHeight="1">
      <x:c r="A39" s="21" t="str">
        <x:v>Голиаф</x:v>
      </x:c>
      <x:c r="B39" s="21" t="str">
        <x:v>Base species</x:v>
      </x:c>
      <x:c r="C39" s="21" t="str">
        <x:v>RACE-0011</x:v>
      </x:c>
      <x:c r="D39" s="21" t="str">
        <x:v>RACE-0011</x:v>
      </x:c>
      <x:c r="E39" s="21" t="str">
        <x:v>832cebd9-121a-4457-b9fd-92adaee40720</x:v>
      </x:c>
      <x:c r="F39" s="21" t="n">
        <x:v>1</x:v>
      </x:c>
      <x:c r="G39" s="21" t="str">
        <x:v>Lineage option</x:v>
      </x:c>
      <x:c r="H39" s="21" t="str">
        <x:v>Холмовой</x:v>
      </x:c>
      <x:c r="I39" s="21" t="str">
        <x:v>Толчок холмов: сбивание с ног при попадании.</x:v>
      </x:c>
      <x:c r="J39" s="21" t="str">
        <x:v>verified_partial</x:v>
      </x:c>
      <x:c r="K39" s="21" t="str">
        <x:v>Passed</x:v>
      </x:c>
      <x:c r="L39" s="21" t="str">
        <x:v>84e8c110-bbba-41be-85ef-9165c376d746</x:v>
      </x:c>
      <x:c r="M39" s="21" t="str">
        <x:v>PASS — retained Stone Goliath Fighter covers Forge/sheet, combat activation, Stone Endurance reduction/resource spend and clear journal evidence. The shared Goliath chassis passes the species matrix.</x:v>
      </x:c>
    </x:row>
    <x:row r="40" ht="48" customHeight="1">
      <x:c r="A40" s="21" t="str">
        <x:v>Голиаф</x:v>
      </x:c>
      <x:c r="B40" s="21" t="str">
        <x:v>Base species</x:v>
      </x:c>
      <x:c r="C40" s="21" t="str">
        <x:v>RACE-0011</x:v>
      </x:c>
      <x:c r="D40" s="21" t="str">
        <x:v>RACE-0011</x:v>
      </x:c>
      <x:c r="E40" s="21" t="str">
        <x:v>832cebd9-121a-4457-b9fd-92adaee40720</x:v>
      </x:c>
      <x:c r="F40" s="21" t="n">
        <x:v>1</x:v>
      </x:c>
      <x:c r="G40" s="21" t="str">
        <x:v>Lineage option</x:v>
      </x:c>
      <x:c r="H40" s="21" t="str">
        <x:v>Каменный</x:v>
      </x:c>
      <x:c r="I40" s="21" t="str">
        <x:v>Каменная стойкость: реакцией уменьшаете урон.</x:v>
      </x:c>
      <x:c r="J40" s="21" t="str">
        <x:v>verified_partial</x:v>
      </x:c>
      <x:c r="K40" s="21" t="str">
        <x:v>Passed</x:v>
      </x:c>
      <x:c r="L40" s="21" t="str">
        <x:v>84e8c110-bbba-41be-85ef-9165c376d746</x:v>
      </x:c>
      <x:c r="M40" s="21" t="str">
        <x:v>PASS — retained Stone Goliath Fighter covers Forge/sheet, combat activation, Stone Endurance reduction/resource spend and clear journal evidence. The shared Goliath chassis passes the species matrix.</x:v>
      </x:c>
    </x:row>
    <x:row r="41" ht="48" customHeight="1">
      <x:c r="A41" s="21" t="str">
        <x:v>Голиаф</x:v>
      </x:c>
      <x:c r="B41" s="21" t="str">
        <x:v>Base species</x:v>
      </x:c>
      <x:c r="C41" s="21" t="str">
        <x:v>RACE-0011</x:v>
      </x:c>
      <x:c r="D41" s="21" t="str">
        <x:v>RACE-0011</x:v>
      </x:c>
      <x:c r="E41" s="21" t="str">
        <x:v>832cebd9-121a-4457-b9fd-92adaee40720</x:v>
      </x:c>
      <x:c r="F41" s="21" t="n">
        <x:v>1</x:v>
      </x:c>
      <x:c r="G41" s="21" t="str">
        <x:v>Lineage option</x:v>
      </x:c>
      <x:c r="H41" s="21" t="str">
        <x:v>Штормовой</x:v>
      </x:c>
      <x:c r="I41" s="21" t="str">
        <x:v>Громовой удар: реакцией урон Звуком и помеха.</x:v>
      </x:c>
      <x:c r="J41" s="21" t="str">
        <x:v>verified_partial</x:v>
      </x:c>
      <x:c r="K41" s="21" t="str">
        <x:v>Passed</x:v>
      </x:c>
      <x:c r="L41" s="21" t="str">
        <x:v>84e8c110-bbba-41be-85ef-9165c376d746</x:v>
      </x:c>
      <x:c r="M41" s="21" t="str">
        <x:v>PASS — retained Stone Goliath Fighter covers Forge/sheet, combat activation, Stone Endurance reduction/resource spend and clear journal evidence. The shared Goliath chassis passes the species matrix.</x:v>
      </x:c>
    </x:row>
    <x:row r="42" ht="48" customHeight="1">
      <x:c r="A42" s="21" t="str">
        <x:v>Голиаф</x:v>
      </x:c>
      <x:c r="B42" s="21" t="str">
        <x:v>Base species</x:v>
      </x:c>
      <x:c r="C42" s="21" t="str">
        <x:v>RACE-0011</x:v>
      </x:c>
      <x:c r="D42" s="21" t="str">
        <x:v>RACE-0011</x:v>
      </x:c>
      <x:c r="E42" s="21" t="str">
        <x:v>832cebd9-121a-4457-b9fd-92adaee40720</x:v>
      </x:c>
      <x:c r="F42" s="21" t="n">
        <x:v>1</x:v>
      </x:c>
      <x:c r="G42" s="21" t="str">
        <x:v>Effect</x:v>
      </x:c>
      <x:c r="H42" s="21" t="str">
        <x:v>Наследие великанов</x:v>
      </x:c>
      <x:c r="I42" s="21" t="str">
        <x:v>Наследие великанов: вы носите сверхъестественный дар предков-великанов. Пул зарядов = вашему бонусу мастерства (восстанавливается после длинного отдыха). Выбранный подвид даёт способность, тратящую заряд. | Activation: passive | Effects: [{"resolution":"auto","result":[{"amount":"prof_bonus","id":"giant_legacy","kind":"resource","op":"grant"},{"description":"Наследие великанов: число применений равно бонусу мастерства; восстанавливается после продолжительного отдыха.","kind":"narrative"}]}]</x:v>
      </x:c>
      <x:c r="J42" s="21" t="str">
        <x:v>verified_mechanical</x:v>
      </x:c>
      <x:c r="K42" s="21" t="str">
        <x:v>Passed</x:v>
      </x:c>
      <x:c r="L42" s="21" t="str">
        <x:v>84e8c110-bbba-41be-85ef-9165c376d746</x:v>
      </x:c>
      <x:c r="M42" s="21" t="str">
        <x:v>PASS — retained Stone Goliath Fighter covers Forge/sheet, combat activation, Stone Endurance reduction/resource spend and clear journal evidence. The shared Goliath chassis passes the species matrix.</x:v>
      </x:c>
    </x:row>
    <x:row r="43" ht="48" customHeight="1">
      <x:c r="A43" s="21" t="str">
        <x:v>Голиаф</x:v>
      </x:c>
      <x:c r="B43" s="21" t="str">
        <x:v>Base species</x:v>
      </x:c>
      <x:c r="C43" s="21" t="str">
        <x:v>RACE-0011</x:v>
      </x:c>
      <x:c r="D43" s="21" t="str">
        <x:v>RACE-0011</x:v>
      </x:c>
      <x:c r="E43" s="21" t="str">
        <x:v>832cebd9-121a-4457-b9fd-92adaee40720</x:v>
      </x:c>
      <x:c r="F43" s="21" t="n">
        <x:v>1</x:v>
      </x:c>
      <x:c r="G43" s="21" t="str">
        <x:v>Effect</x:v>
      </x:c>
      <x:c r="H43" s="21" t="str">
        <x:v>Большая форма</x:v>
      </x:c>
      <x:c r="I43" s="21" t="str">
        <x:v>С 5 уровня бонусным действием вы становитесь Большим на 10 минут. | Activation: active; cost bonus_action, self_uses | Effects: [{"resolution":"auto","result":[{"applies_to":{"roll":"size"},"duration":{"amount":10,"type":"rounds"},"kind":"modifier","op":"add","value":1},{"applies_to":{"roll":"speed"},"duration":{"amount":10,"type":"rounds"},"kind":"modifier","op":"add","value":10},{"description":"Большая форма: вы становитесь Большим на 1 минуту (10 раундов), если есть место. Преимущество на проверки Силы; скорость +10 футов.","kind":"narrative"}]}]</x:v>
      </x:c>
      <x:c r="J43" s="21" t="str">
        <x:v>verified_mechanical</x:v>
      </x:c>
      <x:c r="K43" s="21" t="str">
        <x:v>Passed</x:v>
      </x:c>
      <x:c r="L43" s="21" t="str">
        <x:v>84e8c110-bbba-41be-85ef-9165c376d746</x:v>
      </x:c>
      <x:c r="M43" s="21" t="str">
        <x:v>PASS — retained Stone Goliath Fighter covers Forge/sheet, combat activation, Stone Endurance reduction/resource spend and clear journal evidence. The shared Goliath chassis passes the species matrix.</x:v>
      </x:c>
    </x:row>
    <x:row r="44" ht="48" customHeight="1">
      <x:c r="A44" s="21" t="str">
        <x:v>Голиаф</x:v>
      </x:c>
      <x:c r="B44" s="21" t="str">
        <x:v>Base species</x:v>
      </x:c>
      <x:c r="C44" s="21" t="str">
        <x:v>RACE-0011</x:v>
      </x:c>
      <x:c r="D44" s="21" t="str">
        <x:v>RACE-0011</x:v>
      </x:c>
      <x:c r="E44" s="21" t="str">
        <x:v>832cebd9-121a-4457-b9fd-92adaee40720</x:v>
      </x:c>
      <x:c r="F44" s="21" t="n">
        <x:v>1</x:v>
      </x:c>
      <x:c r="G44" s="21" t="str">
        <x:v>Effect</x:v>
      </x:c>
      <x:c r="H44" s="21" t="str">
        <x:v>Мощное телосложение</x:v>
      </x:c>
      <x:c r="I44" s="21" t="str">
        <x:v>Считается, что ваш размер на одну категорию больше для переноски и грузоподъёмности; преимущество на спасброски против Захвата. | Activation: passive | Effects: [{"resolution":"auto","result":[{"applies_to":{"roll":"carry"},"kind":"modifier","op":"add","value":1},{"description":"Мощное телосложение: считается, что ваш размер на одну категорию больше для переноски, толкания и грузоподъёмности; преимущество на спасброски против Схвата.","kind":"narrative"}]}]</x:v>
      </x:c>
      <x:c r="J44" s="21" t="str">
        <x:v>verified_mechanical</x:v>
      </x:c>
      <x:c r="K44" s="21" t="str">
        <x:v>Passed</x:v>
      </x:c>
      <x:c r="L44" s="21" t="str">
        <x:v>84e8c110-bbba-41be-85ef-9165c376d746</x:v>
      </x:c>
      <x:c r="M44" s="21" t="str">
        <x:v>PASS — retained Stone Goliath Fighter covers Forge/sheet, combat activation, Stone Endurance reduction/resource spend and clear journal evidence. The shared Goliath chassis passes the species matrix.</x:v>
      </x:c>
    </x:row>
    <x:row r="45" ht="48" customHeight="1">
      <x:c r="A45" s="21" t="str">
        <x:v>Голиаф</x:v>
      </x:c>
      <x:c r="B45" s="21" t="str">
        <x:v>Наследие облачного великана</x:v>
      </x:c>
      <x:c r="C45" s="21" t="str">
        <x:v>RACE-0011</x:v>
      </x:c>
      <x:c r="D45" s="21" t="str">
        <x:v>RACE-0011-cloud</x:v>
      </x:c>
      <x:c r="E45" s="21" t="str">
        <x:v>b262a4c9-e303-472b-b347-e3fcb2fe93f1</x:v>
      </x:c>
      <x:c r="F45" s="21" t="n">
        <x:v>1</x:v>
      </x:c>
      <x:c r="G45" s="21" t="str">
        <x:v>Species chassis</x:v>
      </x:c>
      <x:c r="H45" s="21" t="str">
        <x:v>Наследие облачного великана</x:v>
      </x:c>
      <x:c r="I45" s="21" t="str">
        <x:v>Creature type —; size ; speed —; darkvision —. Наследие великанов: облачный великан.</x:v>
      </x:c>
      <x:c r="J45" s="21" t="str">
        <x:v>verified_partial</x:v>
      </x:c>
      <x:c r="K45" s="21" t="str">
        <x:v>Passed</x:v>
      </x:c>
      <x:c r="L45" s="21" t="str">
        <x:v>c0a9ce03-7360-4d68-b301-ee6c4cb08b10</x:v>
      </x:c>
      <x:c r="M45"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v>
      </x:c>
    </x:row>
    <x:row r="46" ht="48" customHeight="1">
      <x:c r="A46" s="21" t="str">
        <x:v>Голиаф</x:v>
      </x:c>
      <x:c r="B46" s="21" t="str">
        <x:v>Наследие облачного великана</x:v>
      </x:c>
      <x:c r="C46" s="21" t="str">
        <x:v>RACE-0011</x:v>
      </x:c>
      <x:c r="D46" s="21" t="str">
        <x:v>RACE-0011-cloud</x:v>
      </x:c>
      <x:c r="E46" s="21" t="str">
        <x:v>b262a4c9-e303-472b-b347-e3fcb2fe93f1</x:v>
      </x:c>
      <x:c r="F46" s="21" t="n">
        <x:v>1</x:v>
      </x:c>
      <x:c r="G46" s="21" t="str">
        <x:v>Action</x:v>
      </x:c>
      <x:c r="H46" s="21" t="str">
        <x:v>Облачная телепортация</x:v>
      </x:c>
      <x:c r="I46" s="21" t="str">
        <x:v>Наследие великанов (Облачный). Бонусным действием потратьте заряд Наследия великанов, чтобы телепортироваться на 30 футов в свободное пространство, которое видите. | Activation: active; cost 1× bonus_action, 1× giant_legacy | Targeting: {"actor_targets":false,"allowed_relations":["self"],"domain":"actor","max_targets":1,"min_targets":0,"range_ft":0,"requires_line_of_sight":false,"shape":"self"} | Effects: [{"resolution":"auto","result":[{"distance":30,"kind":"movement","mode":"teleport"}]}]</x:v>
      </x:c>
      <x:c r="J46" s="21" t="str">
        <x:v>verified_mechanical</x:v>
      </x:c>
      <x:c r="K46" s="21" t="str">
        <x:v>Passed</x:v>
      </x:c>
      <x:c r="L46" s="21" t="str">
        <x:v>c0a9ce03-7360-4d68-b301-ee6c4cb08b10</x:v>
      </x:c>
      <x:c r="M46"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v>
      </x:c>
    </x:row>
    <x:row r="47" ht="48" customHeight="1">
      <x:c r="A47" s="21" t="str">
        <x:v>Голиаф</x:v>
      </x:c>
      <x:c r="B47" s="21" t="str">
        <x:v>Наследие облачного великана</x:v>
      </x:c>
      <x:c r="C47" s="21" t="str">
        <x:v>RACE-0011</x:v>
      </x:c>
      <x:c r="D47" s="21" t="str">
        <x:v>RACE-0011-cloud</x:v>
      </x:c>
      <x:c r="E47" s="21" t="str">
        <x:v>b262a4c9-e303-472b-b347-e3fcb2fe93f1</x:v>
      </x:c>
      <x:c r="F47" s="21" t="n">
        <x:v>1</x:v>
      </x:c>
      <x:c r="G47" s="21" t="str">
        <x:v>Effect</x:v>
      </x:c>
      <x:c r="H47" s="21" t="str">
        <x:v>Облачный</x:v>
      </x:c>
      <x:c r="I47" s="21" t="str">
        <x:v>Прогулка на облаках: Бонусным действием вы магически телепортируетесь на расстояние до 30 футов в видимое вами незанятое пространство. Использований — по вашему Бонусу владения, все восстанавливаются после Долгого отдыха. | Activation: passive | Effects: [{"resolution":"auto","result":[{"description":"Облачная телепортация: бонусным действием телепорт на 30 фт.","kind":"narrative"}]}]</x:v>
      </x:c>
      <x:c r="J47" s="21" t="str">
        <x:v>verified_mechanical</x:v>
      </x:c>
      <x:c r="K47" s="21" t="str">
        <x:v>Passed</x:v>
      </x:c>
      <x:c r="L47" s="21" t="str">
        <x:v>c0a9ce03-7360-4d68-b301-ee6c4cb08b10</x:v>
      </x:c>
      <x:c r="M47"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c0a9ce03-7360-4d68-b301-ee6c4cb08b10.</x:v>
      </x:c>
    </x:row>
    <x:row r="48" ht="48" customHeight="1">
      <x:c r="A48" s="21" t="str">
        <x:v>Голиаф</x:v>
      </x:c>
      <x:c r="B48" s="21" t="str">
        <x:v>Наследие огненного великана</x:v>
      </x:c>
      <x:c r="C48" s="21" t="str">
        <x:v>RACE-0011</x:v>
      </x:c>
      <x:c r="D48" s="21" t="str">
        <x:v>RACE-0011-fire</x:v>
      </x:c>
      <x:c r="E48" s="21" t="str">
        <x:v>1fc68a11-99de-4870-85ad-1cedf6e844e9</x:v>
      </x:c>
      <x:c r="F48" s="21" t="n">
        <x:v>1</x:v>
      </x:c>
      <x:c r="G48" s="21" t="str">
        <x:v>Species chassis</x:v>
      </x:c>
      <x:c r="H48" s="21" t="str">
        <x:v>Наследие огненного великана</x:v>
      </x:c>
      <x:c r="I48" s="21" t="str">
        <x:v>Creature type —; size ; speed —; darkvision —. Наследие великанов: огненный великан.</x:v>
      </x:c>
      <x:c r="J48" s="21" t="str">
        <x:v>verified_partial</x:v>
      </x:c>
      <x:c r="K48" s="21" t="str">
        <x:v>Passed</x:v>
      </x:c>
      <x:c r="L48" s="21" t="str">
        <x:v>f4b8e1c5-5aba-42d9-8056-d4b21d3da954</x:v>
      </x:c>
      <x:c r="M48"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v>
      </x:c>
    </x:row>
    <x:row r="49" ht="48" customHeight="1">
      <x:c r="A49" s="21" t="str">
        <x:v>Голиаф</x:v>
      </x:c>
      <x:c r="B49" s="21" t="str">
        <x:v>Наследие огненного великана</x:v>
      </x:c>
      <x:c r="C49" s="21" t="str">
        <x:v>RACE-0011</x:v>
      </x:c>
      <x:c r="D49" s="21" t="str">
        <x:v>RACE-0011-fire</x:v>
      </x:c>
      <x:c r="E49" s="21" t="str">
        <x:v>1fc68a11-99de-4870-85ad-1cedf6e844e9</x:v>
      </x:c>
      <x:c r="F49" s="21" t="n">
        <x:v>1</x:v>
      </x:c>
      <x:c r="G49" s="21" t="str">
        <x:v>Action</x:v>
      </x:c>
      <x:c r="H49" s="21" t="str">
        <x:v>Огненный ожог</x:v>
      </x:c>
      <x:c r="I49" s="21" t="str">
        <x:v>Наследие великанов (Огненный). Когда вы попадаете по существу броском атаки, потратьте заряд Наследия великанов, чтобы нанести цели дополнительно 1к10 урона огнём. | Activation: triggered; cost 1× giant_legacy | Trigger: {"event":"hit","timing":"during"} | Targeting: {"actor_targets":true,"allowed_relations":["enemy","neutral"],"domain":"actor","max_targets":1,"min_targets":1,"range_ft":600,"requires_line_of_sight":true,"shape":"single"} | Effects: [{"resolution":"auto","result":[{"ability":"none","dice":"1d10","kind":"damage","type":"fire"}],"who":"target"}]</x:v>
      </x:c>
      <x:c r="J49" s="21" t="str">
        <x:v>verified_mechanical</x:v>
      </x:c>
      <x:c r="K49" s="21" t="str">
        <x:v>Passed</x:v>
      </x:c>
      <x:c r="L49" s="21" t="str">
        <x:v>f4b8e1c5-5aba-42d9-8056-d4b21d3da954</x:v>
      </x:c>
      <x:c r="M49"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v>
      </x:c>
    </x:row>
    <x:row r="50" ht="48" customHeight="1">
      <x:c r="A50" s="21" t="str">
        <x:v>Голиаф</x:v>
      </x:c>
      <x:c r="B50" s="21" t="str">
        <x:v>Наследие огненного великана</x:v>
      </x:c>
      <x:c r="C50" s="21" t="str">
        <x:v>RACE-0011</x:v>
      </x:c>
      <x:c r="D50" s="21" t="str">
        <x:v>RACE-0011-fire</x:v>
      </x:c>
      <x:c r="E50" s="21" t="str">
        <x:v>1fc68a11-99de-4870-85ad-1cedf6e844e9</x:v>
      </x:c>
      <x:c r="F50" s="21" t="n">
        <x:v>1</x:v>
      </x:c>
      <x:c r="G50" s="21" t="str">
        <x:v>Effect</x:v>
      </x:c>
      <x:c r="H50" s="21" t="str">
        <x:v>Огненный</x:v>
      </x:c>
      <x:c r="I50" s="21" t="str">
        <x:v>Ожог от огня: когда вы попадаете по цели броском атаки и наносите ей урон, вы можете дополнительно нанести ей 1к10 урона Огнём. Использований — по вашему Бонусу владения, все восстанавливаются после Долгого отдыха. | Activation: passive | Effects: [{"resolution":"auto","result":[{"description":"Огненный ожог: доп. урон огнём при попадании.","kind":"narrative"}]}]</x:v>
      </x:c>
      <x:c r="J50" s="21" t="str">
        <x:v>verified_mechanical</x:v>
      </x:c>
      <x:c r="K50" s="21" t="str">
        <x:v>Passed</x:v>
      </x:c>
      <x:c r="L50" s="21" t="str">
        <x:v>f4b8e1c5-5aba-42d9-8056-d4b21d3da954</x:v>
      </x:c>
      <x:c r="M50"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f4b8e1c5-5aba-42d9-8056-d4b21d3da954.</x:v>
      </x:c>
    </x:row>
    <x:row r="51" ht="48" customHeight="1">
      <x:c r="A51" s="21" t="str">
        <x:v>Голиаф</x:v>
      </x:c>
      <x:c r="B51" s="21" t="str">
        <x:v>Наследие ледяного великана</x:v>
      </x:c>
      <x:c r="C51" s="21" t="str">
        <x:v>RACE-0011</x:v>
      </x:c>
      <x:c r="D51" s="21" t="str">
        <x:v>RACE-0011-frost</x:v>
      </x:c>
      <x:c r="E51" s="21" t="str">
        <x:v>6e28e3b3-9049-44ff-9458-6efedfaa3013</x:v>
      </x:c>
      <x:c r="F51" s="21" t="n">
        <x:v>1</x:v>
      </x:c>
      <x:c r="G51" s="21" t="str">
        <x:v>Species chassis</x:v>
      </x:c>
      <x:c r="H51" s="21" t="str">
        <x:v>Наследие ледяного великана</x:v>
      </x:c>
      <x:c r="I51" s="21" t="str">
        <x:v>Creature type —; size ; speed —; darkvision —. Наследие великанов: ледяной великан.</x:v>
      </x:c>
      <x:c r="J51" s="21" t="str">
        <x:v>verified_partial</x:v>
      </x:c>
      <x:c r="K51" s="21" t="str">
        <x:v>Passed</x:v>
      </x:c>
      <x:c r="L51" s="21" t="str">
        <x:v>8bd8174a-8606-4ed1-b27d-d0697a47a10a</x:v>
      </x:c>
      <x:c r="M51"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v>
      </x:c>
    </x:row>
    <x:row r="52" ht="48" customHeight="1">
      <x:c r="A52" s="21" t="str">
        <x:v>Голиаф</x:v>
      </x:c>
      <x:c r="B52" s="21" t="str">
        <x:v>Наследие ледяного великана</x:v>
      </x:c>
      <x:c r="C52" s="21" t="str">
        <x:v>RACE-0011</x:v>
      </x:c>
      <x:c r="D52" s="21" t="str">
        <x:v>RACE-0011-frost</x:v>
      </x:c>
      <x:c r="E52" s="21" t="str">
        <x:v>6e28e3b3-9049-44ff-9458-6efedfaa3013</x:v>
      </x:c>
      <x:c r="F52" s="21" t="n">
        <x:v>1</x:v>
      </x:c>
      <x:c r="G52" s="21" t="str">
        <x:v>Action</x:v>
      </x:c>
      <x:c r="H52" s="21" t="str">
        <x:v>Морозная поступь</x:v>
      </x:c>
      <x:c r="I52" s="21" t="str">
        <x:v>Наследие великанов (Ледяной). Когда вы попадаете по существу броском атаки, потратьте заряд Наследия великанов: цель получает дополнительно 1к6 урона холодом, а её скорость снижается на 10 футов до начала вашего следующего хода. | Activation: triggered; cost 1× giant_legacy | Trigger: {"event":"hit","timing":"during"} | Targeting: {"actor_targets":true,"allowed_relations":["enemy","neutral"],"domain":"actor","max_targets":1,"min_targets":1,"range_ft":600,"requires_line_of_sight":true,"shape":"single"} | Effects: [{"resolution":"auto","result":[{"ability":"none","dice":"1d6","kind":"damage","type":"cold"},{"applies_to":{"roll":"speed"},"duration":{"type":"until_start_of_source_next_turn"},"kind":"modifier","op":"add","value":"-10"}],"who":"target"}]</x:v>
      </x:c>
      <x:c r="J52" s="21" t="str">
        <x:v>verified_mechanical</x:v>
      </x:c>
      <x:c r="K52" s="21" t="str">
        <x:v>Passed</x:v>
      </x:c>
      <x:c r="L52" s="21" t="str">
        <x:v>8bd8174a-8606-4ed1-b27d-d0697a47a10a</x:v>
      </x:c>
      <x:c r="M52"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v>
      </x:c>
    </x:row>
    <x:row r="53" ht="48" customHeight="1">
      <x:c r="A53" s="21" t="str">
        <x:v>Голиаф</x:v>
      </x:c>
      <x:c r="B53" s="21" t="str">
        <x:v>Наследие ледяного великана</x:v>
      </x:c>
      <x:c r="C53" s="21" t="str">
        <x:v>RACE-0011</x:v>
      </x:c>
      <x:c r="D53" s="21" t="str">
        <x:v>RACE-0011-frost</x:v>
      </x:c>
      <x:c r="E53" s="21" t="str">
        <x:v>6e28e3b3-9049-44ff-9458-6efedfaa3013</x:v>
      </x:c>
      <x:c r="F53" s="21" t="n">
        <x:v>1</x:v>
      </x:c>
      <x:c r="G53" s="21" t="str">
        <x:v>Effect</x:v>
      </x:c>
      <x:c r="H53" s="21" t="str">
        <x:v>Ледяной</x:v>
      </x:c>
      <x:c r="I53" s="21" t="str">
        <x:v>Дрожь от холода: когда вы попадаете по цели броском атаки и наносите ей урон, вы можете дополнительно нанести ей 1к6 урона Холодом и уменьшить её Скорость на 10 футов до начала вашего следующего хода. Использований — по вашему Бонусу владения, все восстанавливаются после Долгого отдыха. | Activation: passive | Effects: [{"resolution":"auto","result":[{"description":"Морозная поступь: замедление цели при попадании.","kind":"narrative"}]}]</x:v>
      </x:c>
      <x:c r="J53" s="21" t="str">
        <x:v>verified_mechanical</x:v>
      </x:c>
      <x:c r="K53" s="21" t="str">
        <x:v>Passed</x:v>
      </x:c>
      <x:c r="L53" s="21" t="str">
        <x:v>8bd8174a-8606-4ed1-b27d-d0697a47a10a</x:v>
      </x:c>
      <x:c r="M53"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8bd8174a-8606-4ed1-b27d-d0697a47a10a.</x:v>
      </x:c>
    </x:row>
    <x:row r="54" ht="48" customHeight="1">
      <x:c r="A54" s="21" t="str">
        <x:v>Голиаф</x:v>
      </x:c>
      <x:c r="B54" s="21" t="str">
        <x:v>Наследие холмового великана</x:v>
      </x:c>
      <x:c r="C54" s="21" t="str">
        <x:v>RACE-0011</x:v>
      </x:c>
      <x:c r="D54" s="21" t="str">
        <x:v>RACE-0011-hill</x:v>
      </x:c>
      <x:c r="E54" s="21" t="str">
        <x:v>593f8c23-6ca8-49ab-8f71-ff88c39e95c7</x:v>
      </x:c>
      <x:c r="F54" s="21" t="n">
        <x:v>1</x:v>
      </x:c>
      <x:c r="G54" s="21" t="str">
        <x:v>Species chassis</x:v>
      </x:c>
      <x:c r="H54" s="21" t="str">
        <x:v>Наследие холмового великана</x:v>
      </x:c>
      <x:c r="I54" s="21" t="str">
        <x:v>Creature type —; size ; speed —; darkvision —. Наследие великанов: холмовой великан.</x:v>
      </x:c>
      <x:c r="J54" s="21" t="str">
        <x:v>verified_partial</x:v>
      </x:c>
      <x:c r="K54" s="21" t="str">
        <x:v>Passed</x:v>
      </x:c>
      <x:c r="L54" s="21" t="str">
        <x:v>b691fc35-0010-4851-a609-d934b7cb91e9</x:v>
      </x:c>
      <x:c r="M54"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v>
      </x:c>
    </x:row>
    <x:row r="55" ht="48" customHeight="1">
      <x:c r="A55" s="21" t="str">
        <x:v>Голиаф</x:v>
      </x:c>
      <x:c r="B55" s="21" t="str">
        <x:v>Наследие холмового великана</x:v>
      </x:c>
      <x:c r="C55" s="21" t="str">
        <x:v>RACE-0011</x:v>
      </x:c>
      <x:c r="D55" s="21" t="str">
        <x:v>RACE-0011-hill</x:v>
      </x:c>
      <x:c r="E55" s="21" t="str">
        <x:v>593f8c23-6ca8-49ab-8f71-ff88c39e95c7</x:v>
      </x:c>
      <x:c r="F55" s="21" t="n">
        <x:v>1</x:v>
      </x:c>
      <x:c r="G55" s="21" t="str">
        <x:v>Action</x:v>
      </x:c>
      <x:c r="H55" s="21" t="str">
        <x:v>Толчок холмов</x:v>
      </x:c>
      <x:c r="I55" s="21" t="str">
        <x:v>Наследие великанов (Холмовой). Когда вы попадаете по существу Большого размера или меньше броском атаки, потратьте заряд Наследия великанов, чтобы сбить его с ног (состояние Опрокинут). | Activation: triggered; cost 1× giant_legacy | Trigger: {"event":"hit","timing":"during"} | Targeting: {"actor_targets":true,"allowed_relations":["enemy","neutral"],"domain":"actor","max_targets":1,"min_targets":1,"range_ft":600,"requires_line_of_sight":true,"shape":"single"} | Effects: [{"resolution":"auto","result":[{"kind":"condition","value":"prone"}],"who":"target"}]</x:v>
      </x:c>
      <x:c r="J55" s="21" t="str">
        <x:v>verified_mechanical</x:v>
      </x:c>
      <x:c r="K55" s="21" t="str">
        <x:v>Passed</x:v>
      </x:c>
      <x:c r="L55" s="21" t="str">
        <x:v>b691fc35-0010-4851-a609-d934b7cb91e9</x:v>
      </x:c>
      <x:c r="M55"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v>
      </x:c>
    </x:row>
    <x:row r="56" ht="48" customHeight="1">
      <x:c r="A56" s="21" t="str">
        <x:v>Голиаф</x:v>
      </x:c>
      <x:c r="B56" s="21" t="str">
        <x:v>Наследие холмового великана</x:v>
      </x:c>
      <x:c r="C56" s="21" t="str">
        <x:v>RACE-0011</x:v>
      </x:c>
      <x:c r="D56" s="21" t="str">
        <x:v>RACE-0011-hill</x:v>
      </x:c>
      <x:c r="E56" s="21" t="str">
        <x:v>593f8c23-6ca8-49ab-8f71-ff88c39e95c7</x:v>
      </x:c>
      <x:c r="F56" s="21" t="n">
        <x:v>1</x:v>
      </x:c>
      <x:c r="G56" s="21" t="str">
        <x:v>Effect</x:v>
      </x:c>
      <x:c r="H56" s="21" t="str">
        <x:v>Холмовой</x:v>
      </x:c>
      <x:c r="I56" s="21" t="str">
        <x:v>Падение с холма: когда вы попадаете броском атаки по цели Большого размера или меньше и наносите ей урон, вы можете сделать её Сбитой с ног. Использований — по вашему Бонусу владения, все восстанавливаются после Долгого отдыха. | Activation: passive | Effects: [{"resolution":"auto","result":[{"description":"Толчок холмов: сбивание с ног при попадании.","kind":"narrative"}]}]</x:v>
      </x:c>
      <x:c r="J56" s="21" t="str">
        <x:v>verified_mechanical</x:v>
      </x:c>
      <x:c r="K56" s="21" t="str">
        <x:v>Passed</x:v>
      </x:c>
      <x:c r="L56" s="21" t="str">
        <x:v>b691fc35-0010-4851-a609-d934b7cb91e9</x:v>
      </x:c>
      <x:c r="M56"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b691fc35-0010-4851-a609-d934b7cb91e9.</x:v>
      </x:c>
    </x:row>
    <x:row r="57" ht="48" customHeight="1">
      <x:c r="A57" s="21" t="str">
        <x:v>Голиаф</x:v>
      </x:c>
      <x:c r="B57" s="21" t="str">
        <x:v>Наследие каменного великана</x:v>
      </x:c>
      <x:c r="C57" s="21" t="str">
        <x:v>RACE-0011</x:v>
      </x:c>
      <x:c r="D57" s="21" t="str">
        <x:v>RACE-0011-stone</x:v>
      </x:c>
      <x:c r="E57" s="21" t="str">
        <x:v>0fc14aae-e914-46d4-9143-b71758494983</x:v>
      </x:c>
      <x:c r="F57" s="21" t="n">
        <x:v>1</x:v>
      </x:c>
      <x:c r="G57" s="21" t="str">
        <x:v>Species chassis</x:v>
      </x:c>
      <x:c r="H57" s="21" t="str">
        <x:v>Наследие каменного великана</x:v>
      </x:c>
      <x:c r="I57" s="21" t="str">
        <x:v>Creature type —; size ; speed —; darkvision —. Наследие великанов: каменный великан.</x:v>
      </x:c>
      <x:c r="J57" s="21" t="str">
        <x:v>verified_partial</x:v>
      </x:c>
      <x:c r="K57" s="21" t="str">
        <x:v>Passed</x:v>
      </x:c>
      <x:c r="L57" s="21" t="str">
        <x:v>84e8c110-bbba-41be-85ef-9165c376d746</x:v>
      </x:c>
      <x:c r="M57"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84e8c110-bbba-41be-85ef-9165c376d746.</x:v>
      </x:c>
    </x:row>
    <x:row r="58" ht="48" customHeight="1">
      <x:c r="A58" s="21" t="str">
        <x:v>Голиаф</x:v>
      </x:c>
      <x:c r="B58" s="21" t="str">
        <x:v>Наследие каменного великана</x:v>
      </x:c>
      <x:c r="C58" s="21" t="str">
        <x:v>RACE-0011</x:v>
      </x:c>
      <x:c r="D58" s="21" t="str">
        <x:v>RACE-0011-stone</x:v>
      </x:c>
      <x:c r="E58" s="21" t="str">
        <x:v>0fc14aae-e914-46d4-9143-b71758494983</x:v>
      </x:c>
      <x:c r="F58" s="21" t="n">
        <x:v>1</x:v>
      </x:c>
      <x:c r="G58" s="21" t="str">
        <x:v>Action</x:v>
      </x:c>
      <x:c r="H58" s="21" t="str">
        <x:v>Каменная стойкость</x:v>
      </x:c>
      <x:c r="I58" s="21" t="str">
        <x:v>Получив урон, используйте реакцию и заряд Наследия великанов, чтобы уменьшить полученный урон на 1к12 + модификатор Телосложения. | Activation: reaction; cost 1× reaction, 1× giant_legacy | Trigger: {"event":"damage_taken","timing":"before"} | Targeting: {"actor_targets":false,"allowed_relations":["self"],"domain":"actor","max_targets":1,"min_targets":0,"range_ft":0,"requires_line_of_sight":false,"shape":"self"} | Effects: [{"resolution":"auto","result":[{"amount":"1d12+con","kind":"reduce_damage"}]}]</x:v>
      </x:c>
      <x:c r="J58" s="21" t="str">
        <x:v>verified_mechanical</x:v>
      </x:c>
      <x:c r="K58" s="21" t="str">
        <x:v>Passed</x:v>
      </x:c>
      <x:c r="L58" s="21" t="str">
        <x:v>84e8c110-bbba-41be-85ef-9165c376d746</x:v>
      </x:c>
      <x:c r="M58"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84e8c110-bbba-41be-85ef-9165c376d746.</x:v>
      </x:c>
    </x:row>
    <x:row r="59" ht="48" customHeight="1">
      <x:c r="A59" s="21" t="str">
        <x:v>Голиаф</x:v>
      </x:c>
      <x:c r="B59" s="21" t="str">
        <x:v>Наследие штормового великана</x:v>
      </x:c>
      <x:c r="C59" s="21" t="str">
        <x:v>RACE-0011</x:v>
      </x:c>
      <x:c r="D59" s="21" t="str">
        <x:v>RACE-0011-storm</x:v>
      </x:c>
      <x:c r="E59" s="21" t="str">
        <x:v>5f4be1d6-792c-4473-a7fa-3473528dea03</x:v>
      </x:c>
      <x:c r="F59" s="21" t="n">
        <x:v>1</x:v>
      </x:c>
      <x:c r="G59" s="21" t="str">
        <x:v>Species chassis</x:v>
      </x:c>
      <x:c r="H59" s="21" t="str">
        <x:v>Наследие штормового великана</x:v>
      </x:c>
      <x:c r="I59" s="21" t="str">
        <x:v>Creature type —; size ; speed —; darkvision —. Наследие великанов: штормовой великан.</x:v>
      </x:c>
      <x:c r="J59" s="21" t="str">
        <x:v>verified_partial</x:v>
      </x:c>
      <x:c r="K59" s="21" t="str">
        <x:v>Passed</x:v>
      </x:c>
      <x:c r="L59" s="21" t="str">
        <x:v>0c488e2d-449e-4aa4-9f77-94bae32cedfb</x:v>
      </x:c>
      <x:c r="M59"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v>
      </x:c>
    </x:row>
    <x:row r="60" ht="48" customHeight="1">
      <x:c r="A60" s="21" t="str">
        <x:v>Голиаф</x:v>
      </x:c>
      <x:c r="B60" s="21" t="str">
        <x:v>Наследие штормового великана</x:v>
      </x:c>
      <x:c r="C60" s="21" t="str">
        <x:v>RACE-0011</x:v>
      </x:c>
      <x:c r="D60" s="21" t="str">
        <x:v>RACE-0011-storm</x:v>
      </x:c>
      <x:c r="E60" s="21" t="str">
        <x:v>5f4be1d6-792c-4473-a7fa-3473528dea03</x:v>
      </x:c>
      <x:c r="F60" s="21" t="n">
        <x:v>1</x:v>
      </x:c>
      <x:c r="G60" s="21" t="str">
        <x:v>Action</x:v>
      </x:c>
      <x:c r="H60" s="21" t="str">
        <x:v>Громовой удар</x:v>
      </x:c>
      <x:c r="I60" s="21" t="str">
        <x:v>Наследие великанов (Штормовой). Получив урон от существа в пределах 60 футов, потратьте заряд Наследия великанов, чтобы нанести этому существу 1к8 урона звуком. | Activation: reaction; cost 1× reaction, 1× giant_legacy | Trigger: {"event":"damage_taken"} | Targeting: {"actor_targets":true,"allowed_relations":["enemy","neutral"],"domain":"actor","max_targets":1,"min_targets":1,"range_ft":60,"requires_line_of_sight":true,"shape":"single"} | Effects: [{"resolution":"auto","result":[{"ability":"none","dice":"1d8","kind":"damage","type":"thunder"}],"who":"target"}]</x:v>
      </x:c>
      <x:c r="J60" s="21" t="str">
        <x:v>verified_mechanical</x:v>
      </x:c>
      <x:c r="K60" s="21" t="str">
        <x:v>Passed</x:v>
      </x:c>
      <x:c r="L60" s="21" t="str">
        <x:v>0c488e2d-449e-4aa4-9f77-94bae32cedfb</x:v>
      </x:c>
      <x:c r="M60"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v>
      </x:c>
    </x:row>
    <x:row r="61" ht="48" customHeight="1">
      <x:c r="A61" s="21" t="str">
        <x:v>Голиаф</x:v>
      </x:c>
      <x:c r="B61" s="21" t="str">
        <x:v>Наследие штормового великана</x:v>
      </x:c>
      <x:c r="C61" s="21" t="str">
        <x:v>RACE-0011</x:v>
      </x:c>
      <x:c r="D61" s="21" t="str">
        <x:v>RACE-0011-storm</x:v>
      </x:c>
      <x:c r="E61" s="21" t="str">
        <x:v>5f4be1d6-792c-4473-a7fa-3473528dea03</x:v>
      </x:c>
      <x:c r="F61" s="21" t="n">
        <x:v>1</x:v>
      </x:c>
      <x:c r="G61" s="21" t="str">
        <x:v>Effect</x:v>
      </x:c>
      <x:c r="H61" s="21" t="str">
        <x:v>Штормовой</x:v>
      </x:c>
      <x:c r="I61" s="21" t="str">
        <x:v>Грохот бури: когда вы получаете урон от существа в пределах 60 футов от вас, вы можете Реакцией нанести ему 1к8 урона Звуком. Использований — по вашему Бонусу владения, все восстанавливаются после Долгого отдыха. | Activation: passive | Effects: [{"resolution":"auto","result":[{"description":"Громовой удар: реакцией урон Звуком и помеха.","kind":"narrative"}]}]</x:v>
      </x:c>
      <x:c r="J61" s="21" t="str">
        <x:v>verified_mechanical</x:v>
      </x:c>
      <x:c r="K61" s="21" t="str">
        <x:v>Passed</x:v>
      </x:c>
      <x:c r="L61" s="21" t="str">
        <x:v>0c488e2d-449e-4aa4-9f77-94bae32cedfb</x:v>
      </x:c>
      <x:c r="M61" s="21" t="str">
        <x:v>PASS — production cfc64ca17d88dc6e15717b9e454c9824ac2b055d. Sheet: the exact ancestry, Giant Ancestry pool, Powerful Build, speed, and its linked action/effect are visible with readable trigger, cost, range, damage, and condition text. Combat/runtime: the complete production-derived species matrix executed every ancestry payload; retained Cloud combat additionally spent one bonus action and one Giant Ancestry charge and now journals “телепортация 30 фт.” with localized resources. Result clarity is observable on the source/target. Spell entities are not rated here. Retained character ID(s): 0c488e2d-449e-4aa4-9f77-94bae32cedfb.</x:v>
      </x:c>
    </x:row>
    <x:row r="62" ht="48" customHeight="1">
      <x:c r="A62" s="21" t="str">
        <x:v>Дварф</x:v>
      </x:c>
      <x:c r="B62" s="21" t="str">
        <x:v>Base species</x:v>
      </x:c>
      <x:c r="C62" s="21" t="str">
        <x:v>RACE-0003</x:v>
      </x:c>
      <x:c r="D62" s="21" t="str">
        <x:v>RACE-0003</x:v>
      </x:c>
      <x:c r="E62" s="21" t="str">
        <x:v>3e524959-afd8-499a-9486-aa67b4d1b769</x:v>
      </x:c>
      <x:c r="F62" s="21" t="n">
        <x:v>1</x:v>
      </x:c>
      <x:c r="G62" s="21" t="str">
        <x:v>Species chassis</x:v>
      </x:c>
      <x:c r="H62" s="21" t="str">
        <x:v>Дварф</x:v>
      </x:c>
      <x:c r="I62" s="21" t="str">
        <x:v>Creature type Гуманоид; size Средний; speed 30; darkvision 120. В древние времена дворфы были подняты из земли божеством-кузнецом, которого в разных мирах называли Морадином, Реорксом и другими именами. Бог наделил их родством с камнем и металлом, приспособил к жизни под землёй и сделал крепкими, как горы, — дворфы живут около 350 лет. Первые дворфы высекали свои города и крепости на склонах гор и под ними, а их потомки хранят легенды предков и любят петь о том, как невысокий народ побеждал громадных великанов и подземные ужасы.</x:v>
      </x:c>
      <x:c r="J62" s="21" t="str">
        <x:v>verified_partial</x:v>
      </x:c>
      <x:c r="K62" s="21" t="str">
        <x:v>Passed</x:v>
      </x:c>
      <x:c r="L62" s="21" t="str">
        <x:v>467b52d2-3982-4c32-bbfa-f39cce69bcf0; ae8f3549-97a5-4c9d-b1e6-0b169d06d310, 8c450667-7ce4-4c81-a982-f7356cb8f7ab</x:v>
      </x:c>
      <x:c r="M62" s="21" t="str">
        <x:v>PASS — retained Dwarf sheet/combat evidence proves poison resistance and the poison-save advantage path, including visible d20 discard, modifier, DC, outcome, applied condition and observer-facing journal. Automated species matrix passes.</x:v>
      </x:c>
    </x:row>
    <x:row r="63" ht="48" customHeight="1">
      <x:c r="A63" s="21" t="str">
        <x:v>Дварф</x:v>
      </x:c>
      <x:c r="B63" s="21" t="str">
        <x:v>Base species</x:v>
      </x:c>
      <x:c r="C63" s="21" t="str">
        <x:v>RACE-0003</x:v>
      </x:c>
      <x:c r="D63" s="21" t="str">
        <x:v>RACE-0003</x:v>
      </x:c>
      <x:c r="E63" s="21" t="str">
        <x:v>3e524959-afd8-499a-9486-aa67b4d1b769</x:v>
      </x:c>
      <x:c r="F63" s="21" t="n">
        <x:v>1</x:v>
      </x:c>
      <x:c r="G63" s="21" t="str">
        <x:v>Trait</x:v>
      </x:c>
      <x:c r="H63" s="21" t="str">
        <x:v>Тёмное зрение</x:v>
      </x:c>
      <x:c r="I63" s="21" t="str">
        <x:v>Тёмное зрение 120 футов.</x:v>
      </x:c>
      <x:c r="J63" s="21" t="str">
        <x:v>verified_partial</x:v>
      </x:c>
      <x:c r="K63" s="21" t="str">
        <x:v>Passed</x:v>
      </x:c>
      <x:c r="L63" s="21" t="str">
        <x:v>467b52d2-3982-4c32-bbfa-f39cce69bcf0; ae8f3549-97a5-4c9d-b1e6-0b169d06d310, 8c450667-7ce4-4c81-a982-f7356cb8f7ab</x:v>
      </x:c>
      <x:c r="M63" s="21" t="str">
        <x:v>PASS — retained Dwarf sheet/combat evidence proves poison resistance and the poison-save advantage path, including visible d20 discard, modifier, DC, outcome, applied condition and observer-facing journal. Automated species matrix passes.</x:v>
      </x:c>
    </x:row>
    <x:row r="64" ht="48" customHeight="1">
      <x:c r="A64" s="21" t="str">
        <x:v>Дварф</x:v>
      </x:c>
      <x:c r="B64" s="21" t="str">
        <x:v>Base species</x:v>
      </x:c>
      <x:c r="C64" s="21" t="str">
        <x:v>RACE-0003</x:v>
      </x:c>
      <x:c r="D64" s="21" t="str">
        <x:v>RACE-0003</x:v>
      </x:c>
      <x:c r="E64" s="21" t="str">
        <x:v>3e524959-afd8-499a-9486-aa67b4d1b769</x:v>
      </x:c>
      <x:c r="F64" s="21" t="n">
        <x:v>1</x:v>
      </x:c>
      <x:c r="G64" s="21" t="str">
        <x:v>Trait</x:v>
      </x:c>
      <x:c r="H64" s="21" t="str">
        <x:v>Дворфская стойкость</x:v>
      </x:c>
      <x:c r="I64" s="21" t="str">
        <x:v>Преимущество на спасброски против яда и Сопротивление урону Ядом.</x:v>
      </x:c>
      <x:c r="J64" s="21" t="str">
        <x:v>verified_partial</x:v>
      </x:c>
      <x:c r="K64" s="21" t="str">
        <x:v>Passed</x:v>
      </x:c>
      <x:c r="L64" s="21" t="str">
        <x:v>f8e7549a-fe5c-4347-9d90-a7e27bfe94b9; 8c450667-7ce4-4c81-a982-f7356cb8f7ab, 8c450667-7ce4-4c81-a982-f7356cb8f7ab</x:v>
      </x:c>
      <x:c r="M64" s="21" t="str">
        <x:v>PASS — retained Dwarf sheet/combat evidence proves poison resistance and the poison-save advantage path, including visible d20 discard, modifier, DC, outcome, applied condition and observer-facing journal. Automated species matrix passes.</x:v>
      </x:c>
    </x:row>
    <x:row r="65" ht="48" customHeight="1">
      <x:c r="A65" s="21" t="str">
        <x:v>Дварф</x:v>
      </x:c>
      <x:c r="B65" s="21" t="str">
        <x:v>Base species</x:v>
      </x:c>
      <x:c r="C65" s="21" t="str">
        <x:v>RACE-0003</x:v>
      </x:c>
      <x:c r="D65" s="21" t="str">
        <x:v>RACE-0003</x:v>
      </x:c>
      <x:c r="E65" s="21" t="str">
        <x:v>3e524959-afd8-499a-9486-aa67b4d1b769</x:v>
      </x:c>
      <x:c r="F65" s="21" t="n">
        <x:v>1</x:v>
      </x:c>
      <x:c r="G65" s="21" t="str">
        <x:v>Trait</x:v>
      </x:c>
      <x:c r="H65" s="21" t="str">
        <x:v>Дворфская выносливость</x:v>
      </x:c>
      <x:c r="I65" s="21" t="str">
        <x:v>Ваш максимум хитов увеличивается на 1, и увеличивается ещё на 1 каждый раз, когда вы получаете уровень.</x:v>
      </x:c>
      <x:c r="J65" s="21" t="str">
        <x:v>verified_partial</x:v>
      </x:c>
      <x:c r="K65" s="21" t="str">
        <x:v>Passed</x:v>
      </x:c>
      <x:c r="L65" s="21" t="str">
        <x:v>467b52d2-3982-4c32-bbfa-f39cce69bcf0; ae8f3549-97a5-4c9d-b1e6-0b169d06d310, 8c450667-7ce4-4c81-a982-f7356cb8f7ab</x:v>
      </x:c>
      <x:c r="M65" s="21" t="str">
        <x:v>PASS — retained Dwarf sheet/combat evidence proves poison resistance and the poison-save advantage path, including visible d20 discard, modifier, DC, outcome, applied condition and observer-facing journal. Automated species matrix passes.</x:v>
      </x:c>
    </x:row>
    <x:row r="66" ht="48" customHeight="1">
      <x:c r="A66" s="21" t="str">
        <x:v>Дварф</x:v>
      </x:c>
      <x:c r="B66" s="21" t="str">
        <x:v>Base species</x:v>
      </x:c>
      <x:c r="C66" s="21" t="str">
        <x:v>RACE-0003</x:v>
      </x:c>
      <x:c r="D66" s="21" t="str">
        <x:v>RACE-0003</x:v>
      </x:c>
      <x:c r="E66" s="21" t="str">
        <x:v>3e524959-afd8-499a-9486-aa67b4d1b769</x:v>
      </x:c>
      <x:c r="F66" s="21" t="n">
        <x:v>1</x:v>
      </x:c>
      <x:c r="G66" s="21" t="str">
        <x:v>Trait</x:v>
      </x:c>
      <x:c r="H66" s="21" t="str">
        <x:v>Камнечувствие</x:v>
      </x:c>
      <x:c r="I66" s="21" t="str">
        <x:v>Бонусным действием вы получаете чувство вибрации 60 футов на 10 минут.</x:v>
      </x:c>
      <x:c r="J66" s="21" t="str">
        <x:v>verified_partial</x:v>
      </x:c>
      <x:c r="K66" s="21" t="str">
        <x:v>Passed</x:v>
      </x:c>
      <x:c r="L66" s="21" t="str">
        <x:v>467b52d2-3982-4c32-bbfa-f39cce69bcf0; ae8f3549-97a5-4c9d-b1e6-0b169d06d310, 8c450667-7ce4-4c81-a982-f7356cb8f7ab</x:v>
      </x:c>
      <x:c r="M66" s="21" t="str">
        <x:v>PASS — retained Dwarf sheet/combat evidence proves poison resistance and the poison-save advantage path, including visible d20 discard, modifier, DC, outcome, applied condition and observer-facing journal. Automated species matrix passes.</x:v>
      </x:c>
    </x:row>
    <x:row r="67" ht="48" customHeight="1">
      <x:c r="A67" s="21" t="str">
        <x:v>Дварф</x:v>
      </x:c>
      <x:c r="B67" s="21" t="str">
        <x:v>Base species</x:v>
      </x:c>
      <x:c r="C67" s="21" t="str">
        <x:v>RACE-0003</x:v>
      </x:c>
      <x:c r="D67" s="21" t="str">
        <x:v>RACE-0003</x:v>
      </x:c>
      <x:c r="E67" s="21" t="str">
        <x:v>3e524959-afd8-499a-9486-aa67b4d1b769</x:v>
      </x:c>
      <x:c r="F67" s="21" t="n">
        <x:v>1</x:v>
      </x:c>
      <x:c r="G67" s="21" t="str">
        <x:v>Effect</x:v>
      </x:c>
      <x:c r="H67" s="21" t="str">
        <x:v>Дворфская стойкость</x:v>
      </x:c>
      <x:c r="I67" s="21" t="str">
        <x:v>Преимущество на спасброски против яда и Сопротивление урону Ядом. | Activation: passive | Effects: [{"resolution":"auto","result":[{"applies_to":{"roll":"saving_throw"},"kind":"modifier","op":"advantage","when":[{"kind":"save_avoids_condition","value":"poisoned"}]},{"damage_type":"poison","kind":"resistance","value":"resistance"}]}]</x:v>
      </x:c>
      <x:c r="J67" s="21" t="str">
        <x:v>verified_mechanical</x:v>
      </x:c>
      <x:c r="K67" s="21" t="str">
        <x:v>Passed</x:v>
      </x:c>
      <x:c r="L67" s="21" t="str">
        <x:v>f8e7549a-fe5c-4347-9d90-a7e27bfe94b9; 8c450667-7ce4-4c81-a982-f7356cb8f7ab, 8c450667-7ce4-4c81-a982-f7356cb8f7ab</x:v>
      </x:c>
      <x:c r="M67" s="21" t="str">
        <x:v>PASS — retained Dwarf sheet/combat evidence proves poison resistance and the poison-save advantage path, including visible d20 discard, modifier, DC, outcome, applied condition and observer-facing journal. Automated species matrix passes.</x:v>
      </x:c>
    </x:row>
    <x:row r="68" ht="48" customHeight="1">
      <x:c r="A68" s="21" t="str">
        <x:v>Дварф</x:v>
      </x:c>
      <x:c r="B68" s="21" t="str">
        <x:v>Base species</x:v>
      </x:c>
      <x:c r="C68" s="21" t="str">
        <x:v>RACE-0003</x:v>
      </x:c>
      <x:c r="D68" s="21" t="str">
        <x:v>RACE-0003</x:v>
      </x:c>
      <x:c r="E68" s="21" t="str">
        <x:v>3e524959-afd8-499a-9486-aa67b4d1b769</x:v>
      </x:c>
      <x:c r="F68" s="21" t="n">
        <x:v>1</x:v>
      </x:c>
      <x:c r="G68" s="21" t="str">
        <x:v>Effect</x:v>
      </x:c>
      <x:c r="H68" s="21" t="str">
        <x:v>Дворфская выносливость</x:v>
      </x:c>
      <x:c r="I68" s="21" t="str">
        <x:v>Ваш максимум хитов увеличивается на 1, и увеличивается ещё на 1 каждый раз, когда вы получаете уровень. | Activation: passive | Effects: [{"resolution":"auto","result":[{"applies_to":{"roll":"max_hp"},"kind":"modifier","op":"add","value":"self_level"}]}]</x:v>
      </x:c>
      <x:c r="J68" s="21" t="str">
        <x:v>verified_mechanical</x:v>
      </x:c>
      <x:c r="K68" s="21" t="str">
        <x:v>Passed</x:v>
      </x:c>
      <x:c r="L68" s="21" t="str">
        <x:v>467b52d2-3982-4c32-bbfa-f39cce69bcf0; ae8f3549-97a5-4c9d-b1e6-0b169d06d310, 8c450667-7ce4-4c81-a982-f7356cb8f7ab</x:v>
      </x:c>
      <x:c r="M68" s="21" t="str">
        <x:v>PASS — retained Dwarf sheet/combat evidence proves poison resistance and the poison-save advantage path, including visible d20 discard, modifier, DC, outcome, applied condition and observer-facing journal. Automated species matrix passes.</x:v>
      </x:c>
    </x:row>
    <x:row r="69" ht="48" customHeight="1">
      <x:c r="A69" s="21" t="str">
        <x:v>Дварф</x:v>
      </x:c>
      <x:c r="B69" s="21" t="str">
        <x:v>Base species</x:v>
      </x:c>
      <x:c r="C69" s="21" t="str">
        <x:v>RACE-0003</x:v>
      </x:c>
      <x:c r="D69" s="21" t="str">
        <x:v>RACE-0003</x:v>
      </x:c>
      <x:c r="E69" s="21" t="str">
        <x:v>3e524959-afd8-499a-9486-aa67b4d1b769</x:v>
      </x:c>
      <x:c r="F69" s="21" t="n">
        <x:v>1</x:v>
      </x:c>
      <x:c r="G69" s="21" t="str">
        <x:v>Effect</x:v>
      </x:c>
      <x:c r="H69" s="21" t="str">
        <x:v>Камнечувствие</x:v>
      </x:c>
      <x:c r="I69" s="21" t="str">
        <x:v>Бонусным действием вы получаете чувство вибрации 60 футов на 10 минут. | Activation: active; cost bonus_action, self_uses | Targeting: {"actor_targets":false,"allowed_relations":["self"],"domain":"actor","max_targets":1,"min_targets":0,"range_ft":0,"requires_line_of_sight":false,"requires_stonework_contact":true,"shape":"self"} | Effects: [{"resolution":"auto","result":[{"duration":{"amount":100,"type":"rounds"},"kind":"grant_sense","range":60,"sense":"tremorsense","senseScope":{"detectsAirborne":false,"grantsSight":false,"kind":"stonework","ownerContact":["on_surface","touching_surface"],"sameSurfaceOnly":true,"stoneForms":["natural","worked"]},"sourceEntityIds":["04c2410f-8bc1-4490-bf54-0a8d21e066c9","RE-dwarf-4"],"stack_id":"dnd5e-2024:stonecunning:tremorsense"}]}]</x:v>
      </x:c>
      <x:c r="J69" s="21" t="str">
        <x:v>verified_mechanical</x:v>
      </x:c>
      <x:c r="K69" s="21" t="str">
        <x:v>Passed</x:v>
      </x:c>
      <x:c r="L69" s="21" t="str">
        <x:v>467b52d2-3982-4c32-bbfa-f39cce69bcf0; ae8f3549-97a5-4c9d-b1e6-0b169d06d310, 8c450667-7ce4-4c81-a982-f7356cb8f7ab</x:v>
      </x:c>
      <x:c r="M69" s="21" t="str">
        <x:v>PASS — retained Dwarf sheet/combat evidence proves poison resistance and the poison-save advantage path, including visible d20 discard, modifier, DC, outcome, applied condition and observer-facing journal. Automated species matrix passes.</x:v>
      </x:c>
    </x:row>
    <x:row r="70" ht="48" customHeight="1">
      <x:c r="A70" s="21" t="str">
        <x:v>Дварф</x:v>
      </x:c>
      <x:c r="B70" s="21" t="str">
        <x:v>Base species</x:v>
      </x:c>
      <x:c r="C70" s="21" t="str">
        <x:v>RACE-0003</x:v>
      </x:c>
      <x:c r="D70" s="21" t="str">
        <x:v>RACE-0003</x:v>
      </x:c>
      <x:c r="E70" s="21" t="str">
        <x:v>3e524959-afd8-499a-9486-aa67b4d1b769</x:v>
      </x:c>
      <x:c r="F70" s="21" t="n">
        <x:v>1</x:v>
      </x:c>
      <x:c r="G70" s="21" t="str">
        <x:v>Effect</x:v>
      </x:c>
      <x:c r="H70" s="21" t="str">
        <x:v>Тёмное зрение</x:v>
      </x:c>
      <x:c r="I70" s="21" t="str">
        <x:v>На расстоянии в 120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[{"resolution":"auto","result":[{"kind":"grant_sense","range":120,"sense":"darkvision"}]}]</x:v>
      </x:c>
      <x:c r="J70" s="21" t="str">
        <x:v>verified_partial</x:v>
      </x:c>
      <x:c r="K70" s="21" t="str">
        <x:v>Passed</x:v>
      </x:c>
      <x:c r="L70" s="21" t="str">
        <x:v>467b52d2-3982-4c32-bbfa-f39cce69bcf0; ae8f3549-97a5-4c9d-b1e6-0b169d06d310, 8c450667-7ce4-4c81-a982-f7356cb8f7ab</x:v>
      </x:c>
      <x:c r="M70" s="21" t="str">
        <x:v>PASS — retained Dwarf sheet/combat evidence proves poison resistance and the poison-save advantage path, including visible d20 discard, modifier, DC, outcome, applied condition and observer-facing journal. Automated species matrix passes.</x:v>
      </x:c>
    </x:row>
    <x:row r="71" ht="48" customHeight="1">
      <x:c r="A71" s="21" t="str">
        <x:v>Драконорождённый</x:v>
      </x:c>
      <x:c r="B71" s="21" t="str">
        <x:v>Base species</x:v>
      </x:c>
      <x:c r="C71" s="21" t="str">
        <x:v>RACE-0008</x:v>
      </x:c>
      <x:c r="D71" s="21" t="str">
        <x:v>RACE-0008</x:v>
      </x:c>
      <x:c r="E71" s="21" t="str">
        <x:v>192243e7-5011-4fc3-a91b-a5d66354aa20</x:v>
      </x:c>
      <x:c r="F71" s="21" t="n">
        <x:v>1</x:v>
      </x:c>
      <x:c r="G71" s="21" t="str">
        <x:v>Species chassis</x:v>
      </x:c>
      <x:c r="H71" s="21" t="str">
        <x:v>Драконорождённый</x:v>
      </x:c>
      <x:c r="I71" s="21" t="str">
        <x:v>Creature type Гуманоид; size Средний; speed 30; darkvision 60. Предки драконорождённых вылупились из яиц хроматических и металлических драконов. Одна легенда гласит, что эти яйца благословили драконьи божества Бахамут и Тиамат, желавшие заселить мультивселенную по своему образу и подобию; другая утверждает, что драконы создали первых драконорождённых сами. Кто бы ни создал их, вскоре этот вид расселился по всему Материальному плану. Драконорождённые выглядят как бескрылые двуногие драконы — чешуйчатые, ясноглазые, ширококостные, с рожками на голове, а их окраска напоминает о драконьих предках.</x:v>
      </x:c>
      <x:c r="J71" s="21" t="str">
        <x:v>verified_partial</x:v>
      </x:c>
      <x:c r="K71" s="21" t="str">
        <x:v>Passed</x:v>
      </x:c>
      <x:c r="L71" s="21" t="str">
        <x:v>46ffc3fa-92bf-4d94-a889-4043ea960843</x:v>
      </x:c>
      <x:c r="M7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2" ht="48" customHeight="1">
      <x:c r="A72" s="21" t="str">
        <x:v>Драконорождённый</x:v>
      </x:c>
      <x:c r="B72" s="21" t="str">
        <x:v>Base species</x:v>
      </x:c>
      <x:c r="C72" s="21" t="str">
        <x:v>RACE-0008</x:v>
      </x:c>
      <x:c r="D72" s="21" t="str">
        <x:v>RACE-0008</x:v>
      </x:c>
      <x:c r="E72" s="21" t="str">
        <x:v>192243e7-5011-4fc3-a91b-a5d66354aa20</x:v>
      </x:c>
      <x:c r="F72" s="21" t="n">
        <x:v>1</x:v>
      </x:c>
      <x:c r="G72" s="21" t="str">
        <x:v>Trait</x:v>
      </x:c>
      <x:c r="H72" s="21" t="str">
        <x:v>Тёмное зрение</x:v>
      </x:c>
      <x:c r="I72" s="21" t="str">
        <x:v>Тёмное зрение 60 футов.</x:v>
      </x:c>
      <x:c r="J72" s="21" t="str">
        <x:v>verified_partial</x:v>
      </x:c>
      <x:c r="K72" s="21" t="str">
        <x:v>Passed</x:v>
      </x:c>
      <x:c r="L72" s="21" t="str">
        <x:v>46ffc3fa-92bf-4d94-a889-4043ea960843</x:v>
      </x:c>
      <x:c r="M7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3" ht="48" customHeight="1">
      <x:c r="A73" s="21" t="str">
        <x:v>Драконорождённый</x:v>
      </x:c>
      <x:c r="B73" s="21" t="str">
        <x:v>Base species</x:v>
      </x:c>
      <x:c r="C73" s="21" t="str">
        <x:v>RACE-0008</x:v>
      </x:c>
      <x:c r="D73" s="21" t="str">
        <x:v>RACE-0008</x:v>
      </x:c>
      <x:c r="E73" s="21" t="str">
        <x:v>192243e7-5011-4fc3-a91b-a5d66354aa20</x:v>
      </x:c>
      <x:c r="F73" s="21" t="n">
        <x:v>1</x:v>
      </x:c>
      <x:c r="G73" s="21" t="str">
        <x:v>Trait</x:v>
      </x:c>
      <x:c r="H73" s="21" t="str">
        <x:v>Драконье наследие</x:v>
      </x:c>
      <x:c r="I73" s="21" t="str">
        <x:v>Выберите тип дракона — он определяет тип урона Оружия дыхания и Сопротивление урону.</x:v>
      </x:c>
      <x:c r="J73" s="21" t="str">
        <x:v>verified_partial</x:v>
      </x:c>
      <x:c r="K73" s="21" t="str">
        <x:v>Passed</x:v>
      </x:c>
      <x:c r="L73" s="21" t="str">
        <x:v>46ffc3fa-92bf-4d94-a889-4043ea960843</x:v>
      </x:c>
      <x:c r="M7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4" ht="48" customHeight="1">
      <x:c r="A74" s="21" t="str">
        <x:v>Драконорождённый</x:v>
      </x:c>
      <x:c r="B74" s="21" t="str">
        <x:v>Base species</x:v>
      </x:c>
      <x:c r="C74" s="21" t="str">
        <x:v>RACE-0008</x:v>
      </x:c>
      <x:c r="D74" s="21" t="str">
        <x:v>RACE-0008</x:v>
      </x:c>
      <x:c r="E74" s="21" t="str">
        <x:v>192243e7-5011-4fc3-a91b-a5d66354aa20</x:v>
      </x:c>
      <x:c r="F74" s="21" t="n">
        <x:v>1</x:v>
      </x:c>
      <x:c r="G74" s="21" t="str">
        <x:v>Trait</x:v>
      </x:c>
      <x:c r="H74" s="21" t="str">
        <x:v>Оружие дыхания</x:v>
      </x:c>
      <x:c r="I74" s="21" t="str">
        <x:v>Заменяя одну из атак, вы выдыхаете разрушительную энергию конусом 15 футов. Спасбросок Ловкости; урон растёт с уровнем.</x:v>
      </x:c>
      <x:c r="J74" s="21" t="str">
        <x:v>verified_partial</x:v>
      </x:c>
      <x:c r="K74" s="21" t="str">
        <x:v>Passed</x:v>
      </x:c>
      <x:c r="L74" s="21" t="str">
        <x:v>46ffc3fa-92bf-4d94-a889-4043ea960843</x:v>
      </x:c>
      <x:c r="M7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5" ht="48" customHeight="1">
      <x:c r="A75" s="21" t="str">
        <x:v>Драконорождённый</x:v>
      </x:c>
      <x:c r="B75" s="21" t="str">
        <x:v>Base species</x:v>
      </x:c>
      <x:c r="C75" s="21" t="str">
        <x:v>RACE-0008</x:v>
      </x:c>
      <x:c r="D75" s="21" t="str">
        <x:v>RACE-0008</x:v>
      </x:c>
      <x:c r="E75" s="21" t="str">
        <x:v>192243e7-5011-4fc3-a91b-a5d66354aa20</x:v>
      </x:c>
      <x:c r="F75" s="21" t="n">
        <x:v>5</x:v>
      </x:c>
      <x:c r="G75" s="21" t="str">
        <x:v>Trait</x:v>
      </x:c>
      <x:c r="H75" s="21" t="str">
        <x:v>Драконий полёт</x:v>
      </x:c>
      <x:c r="I75" s="21" t="str">
        <x:v>С 5 уровня бонусным действием вы отращиваете крылья и получаете скорость полёта 10 минут.</x:v>
      </x:c>
      <x:c r="J75" s="21" t="str">
        <x:v>verified_partial</x:v>
      </x:c>
      <x:c r="K75" s="21" t="str">
        <x:v>Not tested</x:v>
      </x:c>
      <x:c r="L75" s="21" t="str"/>
      <x:c r="M75" s="21" t="str"/>
    </x:row>
    <x:row r="76" ht="48" customHeight="1">
      <x:c r="A76" s="21" t="str">
        <x:v>Драконорождённый</x:v>
      </x:c>
      <x:c r="B76" s="21" t="str">
        <x:v>Base species</x:v>
      </x:c>
      <x:c r="C76" s="21" t="str">
        <x:v>RACE-0008</x:v>
      </x:c>
      <x:c r="D76" s="21" t="str">
        <x:v>RACE-0008</x:v>
      </x:c>
      <x:c r="E76" s="21" t="str">
        <x:v>192243e7-5011-4fc3-a91b-a5d66354aa20</x:v>
      </x:c>
      <x:c r="F76" s="21" t="n">
        <x:v>1</x:v>
      </x:c>
      <x:c r="G76" s="21" t="str">
        <x:v>Lineage option</x:v>
      </x:c>
      <x:c r="H76" s="21" t="str">
        <x:v>Чёрный</x:v>
      </x:c>
      <x:c r="I76" s="21" t="str">
        <x:v>Сопротивление и оружие дыхания: кислота.</x:v>
      </x:c>
      <x:c r="J76" s="21" t="str">
        <x:v>verified_partial</x:v>
      </x:c>
      <x:c r="K76" s="21" t="str">
        <x:v>Passed</x:v>
      </x:c>
      <x:c r="L76" s="21" t="str">
        <x:v>46ffc3fa-92bf-4d94-a889-4043ea960843</x:v>
      </x:c>
      <x:c r="M7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7" ht="48" customHeight="1">
      <x:c r="A77" s="21" t="str">
        <x:v>Драконорождённый</x:v>
      </x:c>
      <x:c r="B77" s="21" t="str">
        <x:v>Base species</x:v>
      </x:c>
      <x:c r="C77" s="21" t="str">
        <x:v>RACE-0008</x:v>
      </x:c>
      <x:c r="D77" s="21" t="str">
        <x:v>RACE-0008</x:v>
      </x:c>
      <x:c r="E77" s="21" t="str">
        <x:v>192243e7-5011-4fc3-a91b-a5d66354aa20</x:v>
      </x:c>
      <x:c r="F77" s="21" t="n">
        <x:v>1</x:v>
      </x:c>
      <x:c r="G77" s="21" t="str">
        <x:v>Lineage option</x:v>
      </x:c>
      <x:c r="H77" s="21" t="str">
        <x:v>Синий</x:v>
      </x:c>
      <x:c r="I77" s="21" t="str">
        <x:v>Сопротивление и оружие дыхания: молния.</x:v>
      </x:c>
      <x:c r="J77" s="21" t="str">
        <x:v>verified_partial</x:v>
      </x:c>
      <x:c r="K77" s="21" t="str">
        <x:v>Passed</x:v>
      </x:c>
      <x:c r="L77" s="21" t="str">
        <x:v>46ffc3fa-92bf-4d94-a889-4043ea960843</x:v>
      </x:c>
      <x:c r="M7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8" ht="48" customHeight="1">
      <x:c r="A78" s="21" t="str">
        <x:v>Драконорождённый</x:v>
      </x:c>
      <x:c r="B78" s="21" t="str">
        <x:v>Base species</x:v>
      </x:c>
      <x:c r="C78" s="21" t="str">
        <x:v>RACE-0008</x:v>
      </x:c>
      <x:c r="D78" s="21" t="str">
        <x:v>RACE-0008</x:v>
      </x:c>
      <x:c r="E78" s="21" t="str">
        <x:v>192243e7-5011-4fc3-a91b-a5d66354aa20</x:v>
      </x:c>
      <x:c r="F78" s="21" t="n">
        <x:v>1</x:v>
      </x:c>
      <x:c r="G78" s="21" t="str">
        <x:v>Lineage option</x:v>
      </x:c>
      <x:c r="H78" s="21" t="str">
        <x:v>Латунный</x:v>
      </x:c>
      <x:c r="I78" s="21" t="str">
        <x:v>Сопротивление и оружие дыхания: огонь.</x:v>
      </x:c>
      <x:c r="J78" s="21" t="str">
        <x:v>verified_partial</x:v>
      </x:c>
      <x:c r="K78" s="21" t="str">
        <x:v>Passed</x:v>
      </x:c>
      <x:c r="L78" s="21" t="str">
        <x:v>46ffc3fa-92bf-4d94-a889-4043ea960843</x:v>
      </x:c>
      <x:c r="M7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79" ht="48" customHeight="1">
      <x:c r="A79" s="21" t="str">
        <x:v>Драконорождённый</x:v>
      </x:c>
      <x:c r="B79" s="21" t="str">
        <x:v>Base species</x:v>
      </x:c>
      <x:c r="C79" s="21" t="str">
        <x:v>RACE-0008</x:v>
      </x:c>
      <x:c r="D79" s="21" t="str">
        <x:v>RACE-0008</x:v>
      </x:c>
      <x:c r="E79" s="21" t="str">
        <x:v>192243e7-5011-4fc3-a91b-a5d66354aa20</x:v>
      </x:c>
      <x:c r="F79" s="21" t="n">
        <x:v>1</x:v>
      </x:c>
      <x:c r="G79" s="21" t="str">
        <x:v>Lineage option</x:v>
      </x:c>
      <x:c r="H79" s="21" t="str">
        <x:v>Бронзовый</x:v>
      </x:c>
      <x:c r="I79" s="21" t="str">
        <x:v>Сопротивление и оружие дыхания: молния.</x:v>
      </x:c>
      <x:c r="J79" s="21" t="str">
        <x:v>verified_partial</x:v>
      </x:c>
      <x:c r="K79" s="21" t="str">
        <x:v>Passed</x:v>
      </x:c>
      <x:c r="L79" s="21" t="str">
        <x:v>46ffc3fa-92bf-4d94-a889-4043ea960843</x:v>
      </x:c>
      <x:c r="M7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0" ht="48" customHeight="1">
      <x:c r="A80" s="21" t="str">
        <x:v>Драконорождённый</x:v>
      </x:c>
      <x:c r="B80" s="21" t="str">
        <x:v>Base species</x:v>
      </x:c>
      <x:c r="C80" s="21" t="str">
        <x:v>RACE-0008</x:v>
      </x:c>
      <x:c r="D80" s="21" t="str">
        <x:v>RACE-0008</x:v>
      </x:c>
      <x:c r="E80" s="21" t="str">
        <x:v>192243e7-5011-4fc3-a91b-a5d66354aa20</x:v>
      </x:c>
      <x:c r="F80" s="21" t="n">
        <x:v>1</x:v>
      </x:c>
      <x:c r="G80" s="21" t="str">
        <x:v>Lineage option</x:v>
      </x:c>
      <x:c r="H80" s="21" t="str">
        <x:v>Медный</x:v>
      </x:c>
      <x:c r="I80" s="21" t="str">
        <x:v>Сопротивление и оружие дыхания: кислота.</x:v>
      </x:c>
      <x:c r="J80" s="21" t="str">
        <x:v>verified_partial</x:v>
      </x:c>
      <x:c r="K80" s="21" t="str">
        <x:v>Passed</x:v>
      </x:c>
      <x:c r="L80" s="21" t="str">
        <x:v>46ffc3fa-92bf-4d94-a889-4043ea960843</x:v>
      </x:c>
      <x:c r="M8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1" ht="48" customHeight="1">
      <x:c r="A81" s="21" t="str">
        <x:v>Драконорождённый</x:v>
      </x:c>
      <x:c r="B81" s="21" t="str">
        <x:v>Base species</x:v>
      </x:c>
      <x:c r="C81" s="21" t="str">
        <x:v>RACE-0008</x:v>
      </x:c>
      <x:c r="D81" s="21" t="str">
        <x:v>RACE-0008</x:v>
      </x:c>
      <x:c r="E81" s="21" t="str">
        <x:v>192243e7-5011-4fc3-a91b-a5d66354aa20</x:v>
      </x:c>
      <x:c r="F81" s="21" t="n">
        <x:v>1</x:v>
      </x:c>
      <x:c r="G81" s="21" t="str">
        <x:v>Lineage option</x:v>
      </x:c>
      <x:c r="H81" s="21" t="str">
        <x:v>Золотой</x:v>
      </x:c>
      <x:c r="I81" s="21" t="str">
        <x:v>Сопротивление и оружие дыхания: огонь.</x:v>
      </x:c>
      <x:c r="J81" s="21" t="str">
        <x:v>verified_partial</x:v>
      </x:c>
      <x:c r="K81" s="21" t="str">
        <x:v>Passed</x:v>
      </x:c>
      <x:c r="L81" s="21" t="str">
        <x:v>46ffc3fa-92bf-4d94-a889-4043ea960843</x:v>
      </x:c>
      <x:c r="M8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2" ht="48" customHeight="1">
      <x:c r="A82" s="21" t="str">
        <x:v>Драконорождённый</x:v>
      </x:c>
      <x:c r="B82" s="21" t="str">
        <x:v>Base species</x:v>
      </x:c>
      <x:c r="C82" s="21" t="str">
        <x:v>RACE-0008</x:v>
      </x:c>
      <x:c r="D82" s="21" t="str">
        <x:v>RACE-0008</x:v>
      </x:c>
      <x:c r="E82" s="21" t="str">
        <x:v>192243e7-5011-4fc3-a91b-a5d66354aa20</x:v>
      </x:c>
      <x:c r="F82" s="21" t="n">
        <x:v>1</x:v>
      </x:c>
      <x:c r="G82" s="21" t="str">
        <x:v>Lineage option</x:v>
      </x:c>
      <x:c r="H82" s="21" t="str">
        <x:v>Зелёный</x:v>
      </x:c>
      <x:c r="I82" s="21" t="str">
        <x:v>Сопротивление и оружие дыхания: яд.</x:v>
      </x:c>
      <x:c r="J82" s="21" t="str">
        <x:v>verified_partial</x:v>
      </x:c>
      <x:c r="K82" s="21" t="str">
        <x:v>Passed</x:v>
      </x:c>
      <x:c r="L82" s="21" t="str">
        <x:v>46ffc3fa-92bf-4d94-a889-4043ea960843</x:v>
      </x:c>
      <x:c r="M8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3" ht="48" customHeight="1">
      <x:c r="A83" s="21" t="str">
        <x:v>Драконорождённый</x:v>
      </x:c>
      <x:c r="B83" s="21" t="str">
        <x:v>Base species</x:v>
      </x:c>
      <x:c r="C83" s="21" t="str">
        <x:v>RACE-0008</x:v>
      </x:c>
      <x:c r="D83" s="21" t="str">
        <x:v>RACE-0008</x:v>
      </x:c>
      <x:c r="E83" s="21" t="str">
        <x:v>192243e7-5011-4fc3-a91b-a5d66354aa20</x:v>
      </x:c>
      <x:c r="F83" s="21" t="n">
        <x:v>1</x:v>
      </x:c>
      <x:c r="G83" s="21" t="str">
        <x:v>Lineage option</x:v>
      </x:c>
      <x:c r="H83" s="21" t="str">
        <x:v>Красный</x:v>
      </x:c>
      <x:c r="I83" s="21" t="str">
        <x:v>Сопротивление и оружие дыхания: огонь.</x:v>
      </x:c>
      <x:c r="J83" s="21" t="str">
        <x:v>verified_partial</x:v>
      </x:c>
      <x:c r="K83" s="21" t="str">
        <x:v>Passed</x:v>
      </x:c>
      <x:c r="L83" s="21" t="str">
        <x:v>46ffc3fa-92bf-4d94-a889-4043ea960843</x:v>
      </x:c>
      <x:c r="M8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4" ht="48" customHeight="1">
      <x:c r="A84" s="21" t="str">
        <x:v>Драконорождённый</x:v>
      </x:c>
      <x:c r="B84" s="21" t="str">
        <x:v>Base species</x:v>
      </x:c>
      <x:c r="C84" s="21" t="str">
        <x:v>RACE-0008</x:v>
      </x:c>
      <x:c r="D84" s="21" t="str">
        <x:v>RACE-0008</x:v>
      </x:c>
      <x:c r="E84" s="21" t="str">
        <x:v>192243e7-5011-4fc3-a91b-a5d66354aa20</x:v>
      </x:c>
      <x:c r="F84" s="21" t="n">
        <x:v>1</x:v>
      </x:c>
      <x:c r="G84" s="21" t="str">
        <x:v>Lineage option</x:v>
      </x:c>
      <x:c r="H84" s="21" t="str">
        <x:v>Серебряный</x:v>
      </x:c>
      <x:c r="I84" s="21" t="str">
        <x:v>Сопротивление и оружие дыхания: холод.</x:v>
      </x:c>
      <x:c r="J84" s="21" t="str">
        <x:v>verified_partial</x:v>
      </x:c>
      <x:c r="K84" s="21" t="str">
        <x:v>Passed</x:v>
      </x:c>
      <x:c r="L84" s="21" t="str">
        <x:v>46ffc3fa-92bf-4d94-a889-4043ea960843</x:v>
      </x:c>
      <x:c r="M8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5" ht="48" customHeight="1">
      <x:c r="A85" s="21" t="str">
        <x:v>Драконорождённый</x:v>
      </x:c>
      <x:c r="B85" s="21" t="str">
        <x:v>Base species</x:v>
      </x:c>
      <x:c r="C85" s="21" t="str">
        <x:v>RACE-0008</x:v>
      </x:c>
      <x:c r="D85" s="21" t="str">
        <x:v>RACE-0008</x:v>
      </x:c>
      <x:c r="E85" s="21" t="str">
        <x:v>192243e7-5011-4fc3-a91b-a5d66354aa20</x:v>
      </x:c>
      <x:c r="F85" s="21" t="n">
        <x:v>1</x:v>
      </x:c>
      <x:c r="G85" s="21" t="str">
        <x:v>Lineage option</x:v>
      </x:c>
      <x:c r="H85" s="21" t="str">
        <x:v>Белый</x:v>
      </x:c>
      <x:c r="I85" s="21" t="str">
        <x:v>Сопротивление и оружие дыхания: холод.</x:v>
      </x:c>
      <x:c r="J85" s="21" t="str">
        <x:v>verified_partial</x:v>
      </x:c>
      <x:c r="K85" s="21" t="str">
        <x:v>Passed</x:v>
      </x:c>
      <x:c r="L85" s="21" t="str">
        <x:v>46ffc3fa-92bf-4d94-a889-4043ea960843</x:v>
      </x:c>
      <x:c r="M8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6" ht="48" customHeight="1">
      <x:c r="A86" s="21" t="str">
        <x:v>Драконорождённый</x:v>
      </x:c>
      <x:c r="B86" s="21" t="str">
        <x:v>Base species</x:v>
      </x:c>
      <x:c r="C86" s="21" t="str">
        <x:v>RACE-0008</x:v>
      </x:c>
      <x:c r="D86" s="21" t="str">
        <x:v>RACE-0008</x:v>
      </x:c>
      <x:c r="E86" s="21" t="str">
        <x:v>192243e7-5011-4fc3-a91b-a5d66354aa20</x:v>
      </x:c>
      <x:c r="F86" s="21" t="n">
        <x:v>1</x:v>
      </x:c>
      <x:c r="G86" s="21" t="str">
        <x:v>Effect</x:v>
      </x:c>
      <x:c r="H86" s="21" t="str">
        <x:v>Тёмное зрение</x:v>
      </x:c>
      <x:c r="I86" s="21" t="str">
        <x:v>На расстоянии в 60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[{"resolution":"auto","result":[{"kind":"grant_sense","range":60,"sense":"darkvision"}]}]</x:v>
      </x:c>
      <x:c r="J86" s="21" t="str">
        <x:v>verified_partial</x:v>
      </x:c>
      <x:c r="K86" s="21" t="str">
        <x:v>Passed</x:v>
      </x:c>
      <x:c r="L86" s="21" t="str">
        <x:v>46ffc3fa-92bf-4d94-a889-4043ea960843</x:v>
      </x:c>
      <x:c r="M8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87" ht="48" customHeight="1">
      <x:c r="A87" s="21" t="str">
        <x:v>Драконорождённый</x:v>
      </x:c>
      <x:c r="B87" s="21" t="str">
        <x:v>Base species</x:v>
      </x:c>
      <x:c r="C87" s="21" t="str">
        <x:v>RACE-0008</x:v>
      </x:c>
      <x:c r="D87" s="21" t="str">
        <x:v>RACE-0008</x:v>
      </x:c>
      <x:c r="E87" s="21" t="str">
        <x:v>192243e7-5011-4fc3-a91b-a5d66354aa20</x:v>
      </x:c>
      <x:c r="F87" s="21" t="n">
        <x:v>5</x:v>
      </x:c>
      <x:c r="G87" s="21" t="str">
        <x:v>Effect</x:v>
      </x:c>
      <x:c r="H87" s="21" t="str">
        <x:v>Драконий полёт</x:v>
      </x:c>
      <x:c r="I87" s="21" t="str">
        <x:v>С 5 уровня бонусным действием вы отращиваете крылья и получаете скорость полёта 10 минут. | Activation: active; cost bonus_action, self_uses | Effects: [{"resolution":"auto","result":[{"kind":"grant_speed","mode":"fly","value":"character_speed"}]}]</x:v>
      </x:c>
      <x:c r="J87" s="21" t="str">
        <x:v>verified_mechanical</x:v>
      </x:c>
      <x:c r="K87" s="21" t="str">
        <x:v>Not tested</x:v>
      </x:c>
      <x:c r="L87" s="21" t="str"/>
      <x:c r="M87" s="21" t="str"/>
    </x:row>
    <x:row r="88" ht="48" customHeight="1">
      <x:c r="A88" s="21" t="str">
        <x:v>Драконорождённый</x:v>
      </x:c>
      <x:c r="B88" s="21" t="str">
        <x:v>Чёрный</x:v>
      </x:c>
      <x:c r="C88" s="21" t="str">
        <x:v>RACE-0008</x:v>
      </x:c>
      <x:c r="D88" s="21" t="str">
        <x:v>sub-black</x:v>
      </x:c>
      <x:c r="E88" s="21" t="str">
        <x:v>1aae5238-0974-4418-bed2-961202fac804</x:v>
      </x:c>
      <x:c r="F88" s="21" t="n">
        <x:v>1</x:v>
      </x:c>
      <x:c r="G88" s="21" t="str">
        <x:v>Species chassis</x:v>
      </x:c>
      <x:c r="H88" s="21" t="str">
        <x:v>Чёрный</x:v>
      </x:c>
      <x:c r="I88" s="21" t="str">
        <x:v>Creature type —; size ; speed —; darkvision —. Ваши предки — чёрные драконы, чья магия связана с кислотой и разложением.</x:v>
      </x:c>
      <x:c r="J88" s="21" t="str">
        <x:v>verified_partial</x:v>
      </x:c>
      <x:c r="K88" s="21" t="str">
        <x:v>Passed</x:v>
      </x:c>
      <x:c r="L88" s="21" t="str">
        <x:v>6843e5e9-e38e-4dfb-ba27-8a89e70b906f</x:v>
      </x:c>
      <x:c r="M8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v>
      </x:c>
    </x:row>
    <x:row r="89" ht="48" customHeight="1">
      <x:c r="A89" s="21" t="str">
        <x:v>Драконорождённый</x:v>
      </x:c>
      <x:c r="B89" s="21" t="str">
        <x:v>Чёрный</x:v>
      </x:c>
      <x:c r="C89" s="21" t="str">
        <x:v>RACE-0008</x:v>
      </x:c>
      <x:c r="D89" s="21" t="str">
        <x:v>sub-black</x:v>
      </x:c>
      <x:c r="E89" s="21" t="str">
        <x:v>1aae5238-0974-4418-bed2-961202fac804</x:v>
      </x:c>
      <x:c r="F89" s="21" t="n">
        <x:v>1</x:v>
      </x:c>
      <x:c r="G89" s="21" t="str">
        <x:v>Trait</x:v>
      </x:c>
      <x:c r="H89" s="21" t="str">
        <x:v>Оружие дыхания</x:v>
      </x:c>
      <x:c r="I89" s="21" t="str">
        <x:v>Кислотное дыхание. Вы получаете способность Оружие дыхания (число использований = бонус мастерства за Долгий отдых).</x:v>
      </x:c>
      <x:c r="J89" s="21" t="str">
        <x:v>verified_partial</x:v>
      </x:c>
      <x:c r="K89" s="21" t="str">
        <x:v>Passed</x:v>
      </x:c>
      <x:c r="L89" s="21" t="str">
        <x:v>6843e5e9-e38e-4dfb-ba27-8a89e70b906f</x:v>
      </x:c>
      <x:c r="M8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v>
      </x:c>
    </x:row>
    <x:row r="90" ht="48" customHeight="1">
      <x:c r="A90" s="21" t="str">
        <x:v>Драконорождённый</x:v>
      </x:c>
      <x:c r="B90" s="21" t="str">
        <x:v>Чёрный</x:v>
      </x:c>
      <x:c r="C90" s="21" t="str">
        <x:v>RACE-0008</x:v>
      </x:c>
      <x:c r="D90" s="21" t="str">
        <x:v>sub-black</x:v>
      </x:c>
      <x:c r="E90" s="21" t="str">
        <x:v>1aae5238-0974-4418-bed2-961202fac804</x:v>
      </x:c>
      <x:c r="F90" s="21" t="n">
        <x:v>1</x:v>
      </x:c>
      <x:c r="G90" s="21" t="str">
        <x:v>Trait</x:v>
      </x:c>
      <x:c r="H90" s="21" t="str">
        <x:v>Сопротивление урону</x:v>
      </x:c>
      <x:c r="I90" s="21" t="str">
        <x:v>Вы обладаете сопротивлением урону кислоте.</x:v>
      </x:c>
      <x:c r="J90" s="21" t="str">
        <x:v>verified_partial</x:v>
      </x:c>
      <x:c r="K90" s="21" t="str">
        <x:v>Passed</x:v>
      </x:c>
      <x:c r="L90" s="21" t="str">
        <x:v>6843e5e9-e38e-4dfb-ba27-8a89e70b906f</x:v>
      </x:c>
      <x:c r="M9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v>
      </x:c>
    </x:row>
    <x:row r="91" ht="48" customHeight="1">
      <x:c r="A91" s="21" t="str">
        <x:v>Драконорождённый</x:v>
      </x:c>
      <x:c r="B91" s="21" t="str">
        <x:v>Чёрный</x:v>
      </x:c>
      <x:c r="C91" s="21" t="str">
        <x:v>RACE-0008</x:v>
      </x:c>
      <x:c r="D91" s="21" t="str">
        <x:v>sub-black</x:v>
      </x:c>
      <x:c r="E91" s="21" t="str">
        <x:v>1aae5238-0974-4418-bed2-961202fac804</x:v>
      </x:c>
      <x:c r="F91" s="21" t="n">
        <x:v>1</x:v>
      </x:c>
      <x:c r="G91" s="21" t="str">
        <x:v>Action</x:v>
      </x:c>
      <x:c r="H91" s="21" t="str">
        <x:v>Оружие дыхания (кислота)</x:v>
      </x:c>
      <x:c r="I91"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«кислота»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acid"}],"on_success":[{"dice":"1d10","kind":"damage","on_success":"half","scaling":{"dice":"1d10","per":"self_level_tier"},"type":"acid"}],"resolution":"save","who":"target"}]</x:v>
      </x:c>
      <x:c r="J91" s="21" t="str">
        <x:v>verified_mechanical</x:v>
      </x:c>
      <x:c r="K91" s="21" t="str">
        <x:v>Passed</x:v>
      </x:c>
      <x:c r="L91" s="21" t="str">
        <x:v>6843e5e9-e38e-4dfb-ba27-8a89e70b906f</x:v>
      </x:c>
      <x:c r="M9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v>
      </x:c>
    </x:row>
    <x:row r="92" ht="48" customHeight="1">
      <x:c r="A92" s="21" t="str">
        <x:v>Драконорождённый</x:v>
      </x:c>
      <x:c r="B92" s="21" t="str">
        <x:v>Чёрный</x:v>
      </x:c>
      <x:c r="C92" s="21" t="str">
        <x:v>RACE-0008</x:v>
      </x:c>
      <x:c r="D92" s="21" t="str">
        <x:v>sub-black</x:v>
      </x:c>
      <x:c r="E92" s="21" t="str">
        <x:v>1aae5238-0974-4418-bed2-961202fac804</x:v>
      </x:c>
      <x:c r="F92" s="21" t="n">
        <x:v>1</x:v>
      </x:c>
      <x:c r="G92" s="21" t="str">
        <x:v>Effect</x:v>
      </x:c>
      <x:c r="H92" s="21" t="str">
        <x:v>Драконье сопротивление (кислота)</x:v>
      </x:c>
      <x:c r="I92" s="21" t="str">
        <x:v>Драконье наследие: сопротивление урону типа «кислота». | Activation: passive | Effects: [{"resolution":"auto","result":[{"damage_type":"acid","kind":"resistance","value":"resistance"}]}]</x:v>
      </x:c>
      <x:c r="J92" s="21" t="str">
        <x:v>verified_mechanical</x:v>
      </x:c>
      <x:c r="K92" s="21" t="str">
        <x:v>Passed</x:v>
      </x:c>
      <x:c r="L92" s="21" t="str">
        <x:v>6843e5e9-e38e-4dfb-ba27-8a89e70b906f</x:v>
      </x:c>
      <x:c r="M9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6843e5e9-e38e-4dfb-ba27-8a89e70b906f.</x:v>
      </x:c>
    </x:row>
    <x:row r="93" ht="48" customHeight="1">
      <x:c r="A93" s="21" t="str">
        <x:v>Драконорождённый</x:v>
      </x:c>
      <x:c r="B93" s="21" t="str">
        <x:v>Синий</x:v>
      </x:c>
      <x:c r="C93" s="21" t="str">
        <x:v>RACE-0008</x:v>
      </x:c>
      <x:c r="D93" s="21" t="str">
        <x:v>sub-blue</x:v>
      </x:c>
      <x:c r="E93" s="21" t="str">
        <x:v>5e0694d7-049f-42fe-80b9-49b585bcf79c</x:v>
      </x:c>
      <x:c r="F93" s="21" t="n">
        <x:v>1</x:v>
      </x:c>
      <x:c r="G93" s="21" t="str">
        <x:v>Species chassis</x:v>
      </x:c>
      <x:c r="H93" s="21" t="str">
        <x:v>Синий</x:v>
      </x:c>
      <x:c r="I93" s="21" t="str">
        <x:v>Creature type —; size ; speed —; darkvision —. Ваши предки — синие драконы пустынь, чья магия — молния и гром.</x:v>
      </x:c>
      <x:c r="J93" s="21" t="str">
        <x:v>verified_partial</x:v>
      </x:c>
      <x:c r="K93" s="21" t="str">
        <x:v>Passed</x:v>
      </x:c>
      <x:c r="L93" s="21" t="str">
        <x:v>46ffc3fa-92bf-4d94-a889-4043ea960843</x:v>
      </x:c>
      <x:c r="M9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94" ht="48" customHeight="1">
      <x:c r="A94" s="21" t="str">
        <x:v>Драконорождённый</x:v>
      </x:c>
      <x:c r="B94" s="21" t="str">
        <x:v>Синий</x:v>
      </x:c>
      <x:c r="C94" s="21" t="str">
        <x:v>RACE-0008</x:v>
      </x:c>
      <x:c r="D94" s="21" t="str">
        <x:v>sub-blue</x:v>
      </x:c>
      <x:c r="E94" s="21" t="str">
        <x:v>5e0694d7-049f-42fe-80b9-49b585bcf79c</x:v>
      </x:c>
      <x:c r="F94" s="21" t="n">
        <x:v>1</x:v>
      </x:c>
      <x:c r="G94" s="21" t="str">
        <x:v>Trait</x:v>
      </x:c>
      <x:c r="H94" s="21" t="str">
        <x:v>Оружие дыхания</x:v>
      </x:c>
      <x:c r="I94" s="21" t="str">
        <x:v>Электрическое дыхание. Вы получаете способность Оружие дыхания (число использований = бонус мастерства за Долгий отдых).</x:v>
      </x:c>
      <x:c r="J94" s="21" t="str">
        <x:v>verified_partial</x:v>
      </x:c>
      <x:c r="K94" s="21" t="str">
        <x:v>Passed</x:v>
      </x:c>
      <x:c r="L94" s="21" t="str">
        <x:v>46ffc3fa-92bf-4d94-a889-4043ea960843</x:v>
      </x:c>
      <x:c r="M9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95" ht="48" customHeight="1">
      <x:c r="A95" s="21" t="str">
        <x:v>Драконорождённый</x:v>
      </x:c>
      <x:c r="B95" s="21" t="str">
        <x:v>Синий</x:v>
      </x:c>
      <x:c r="C95" s="21" t="str">
        <x:v>RACE-0008</x:v>
      </x:c>
      <x:c r="D95" s="21" t="str">
        <x:v>sub-blue</x:v>
      </x:c>
      <x:c r="E95" s="21" t="str">
        <x:v>5e0694d7-049f-42fe-80b9-49b585bcf79c</x:v>
      </x:c>
      <x:c r="F95" s="21" t="n">
        <x:v>1</x:v>
      </x:c>
      <x:c r="G95" s="21" t="str">
        <x:v>Trait</x:v>
      </x:c>
      <x:c r="H95" s="21" t="str">
        <x:v>Сопротивление урону</x:v>
      </x:c>
      <x:c r="I95" s="21" t="str">
        <x:v>Вы обладаете сопротивлением урону молнии.</x:v>
      </x:c>
      <x:c r="J95" s="21" t="str">
        <x:v>verified_partial</x:v>
      </x:c>
      <x:c r="K95" s="21" t="str">
        <x:v>Passed</x:v>
      </x:c>
      <x:c r="L95" s="21" t="str">
        <x:v>46ffc3fa-92bf-4d94-a889-4043ea960843</x:v>
      </x:c>
      <x:c r="M9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96" ht="48" customHeight="1">
      <x:c r="A96" s="21" t="str">
        <x:v>Драконорождённый</x:v>
      </x:c>
      <x:c r="B96" s="21" t="str">
        <x:v>Синий</x:v>
      </x:c>
      <x:c r="C96" s="21" t="str">
        <x:v>RACE-0008</x:v>
      </x:c>
      <x:c r="D96" s="21" t="str">
        <x:v>sub-blue</x:v>
      </x:c>
      <x:c r="E96" s="21" t="str">
        <x:v>5e0694d7-049f-42fe-80b9-49b585bcf79c</x:v>
      </x:c>
      <x:c r="F96" s="21" t="n">
        <x:v>1</x:v>
      </x:c>
      <x:c r="G96" s="21" t="str">
        <x:v>Action</x:v>
      </x:c>
      <x:c r="H96" s="21" t="str">
        <x:v>Оружие дыхания (молния)</x:v>
      </x:c>
      <x:c r="I96"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«молния»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lightning"}],"on_success":[{"dice":"1d10","kind":"damage","on_success":"half","scaling":{"dice":"1d10","per":"self_level_tier"},"type":"lightning"}],"resolution":"save","who":"target"}]</x:v>
      </x:c>
      <x:c r="J96" s="21" t="str">
        <x:v>verified_mechanical</x:v>
      </x:c>
      <x:c r="K96" s="21" t="str">
        <x:v>Passed</x:v>
      </x:c>
      <x:c r="L96" s="21" t="str">
        <x:v>46ffc3fa-92bf-4d94-a889-4043ea960843</x:v>
      </x:c>
      <x:c r="M9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97" ht="48" customHeight="1">
      <x:c r="A97" s="21" t="str">
        <x:v>Драконорождённый</x:v>
      </x:c>
      <x:c r="B97" s="21" t="str">
        <x:v>Синий</x:v>
      </x:c>
      <x:c r="C97" s="21" t="str">
        <x:v>RACE-0008</x:v>
      </x:c>
      <x:c r="D97" s="21" t="str">
        <x:v>sub-blue</x:v>
      </x:c>
      <x:c r="E97" s="21" t="str">
        <x:v>5e0694d7-049f-42fe-80b9-49b585bcf79c</x:v>
      </x:c>
      <x:c r="F97" s="21" t="n">
        <x:v>1</x:v>
      </x:c>
      <x:c r="G97" s="21" t="str">
        <x:v>Effect</x:v>
      </x:c>
      <x:c r="H97" s="21" t="str">
        <x:v>Драконье сопротивление (молния)</x:v>
      </x:c>
      <x:c r="I97" s="21" t="str">
        <x:v>Драконье наследие: сопротивление урону типа «молния». | Activation: passive | Effects: [{"resolution":"auto","result":[{"damage_type":"lightning","kind":"resistance","value":"resistance"}]}]</x:v>
      </x:c>
      <x:c r="J97" s="21" t="str">
        <x:v>verified_mechanical</x:v>
      </x:c>
      <x:c r="K97" s="21" t="str">
        <x:v>Passed</x:v>
      </x:c>
      <x:c r="L97" s="21" t="str">
        <x:v>46ffc3fa-92bf-4d94-a889-4043ea960843</x:v>
      </x:c>
      <x:c r="M9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46ffc3fa-92bf-4d94-a889-4043ea960843.</x:v>
      </x:c>
    </x:row>
    <x:row r="98" ht="48" customHeight="1">
      <x:c r="A98" s="21" t="str">
        <x:v>Драконорождённый</x:v>
      </x:c>
      <x:c r="B98" s="21" t="str">
        <x:v>Латунный</x:v>
      </x:c>
      <x:c r="C98" s="21" t="str">
        <x:v>RACE-0008</x:v>
      </x:c>
      <x:c r="D98" s="21" t="str">
        <x:v>sub-brass</x:v>
      </x:c>
      <x:c r="E98" s="21" t="str">
        <x:v>1c97e560-8f80-4a51-b18d-da9aad5cf26a</x:v>
      </x:c>
      <x:c r="F98" s="21" t="n">
        <x:v>1</x:v>
      </x:c>
      <x:c r="G98" s="21" t="str">
        <x:v>Species chassis</x:v>
      </x:c>
      <x:c r="H98" s="21" t="str">
        <x:v>Латунный</x:v>
      </x:c>
      <x:c r="I98" s="21" t="str">
        <x:v>Creature type —; size ; speed —; darkvision —. Ваши предки — латунные драконы пустынь, повелители огня и жары.</x:v>
      </x:c>
      <x:c r="J98" s="21" t="str">
        <x:v>verified_partial</x:v>
      </x:c>
      <x:c r="K98" s="21" t="str">
        <x:v>Passed</x:v>
      </x:c>
      <x:c r="L98" s="21" t="str">
        <x:v>dd46614d-738f-40aa-8c00-2142605c3039</x:v>
      </x:c>
      <x:c r="M9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v>
      </x:c>
    </x:row>
    <x:row r="99" ht="48" customHeight="1">
      <x:c r="A99" s="21" t="str">
        <x:v>Драконорождённый</x:v>
      </x:c>
      <x:c r="B99" s="21" t="str">
        <x:v>Латунный</x:v>
      </x:c>
      <x:c r="C99" s="21" t="str">
        <x:v>RACE-0008</x:v>
      </x:c>
      <x:c r="D99" s="21" t="str">
        <x:v>sub-brass</x:v>
      </x:c>
      <x:c r="E99" s="21" t="str">
        <x:v>1c97e560-8f80-4a51-b18d-da9aad5cf26a</x:v>
      </x:c>
      <x:c r="F99" s="21" t="n">
        <x:v>1</x:v>
      </x:c>
      <x:c r="G99" s="21" t="str">
        <x:v>Trait</x:v>
      </x:c>
      <x:c r="H99" s="21" t="str">
        <x:v>Оружие дыхания</x:v>
      </x:c>
      <x:c r="I99" s="21" t="str">
        <x:v>Огненное дыхание. Вы получаете способность Оружие дыхания (число использований = бонус мастерства за Долгий отдых).</x:v>
      </x:c>
      <x:c r="J99" s="21" t="str">
        <x:v>verified_partial</x:v>
      </x:c>
      <x:c r="K99" s="21" t="str">
        <x:v>Passed</x:v>
      </x:c>
      <x:c r="L99" s="21" t="str">
        <x:v>dd46614d-738f-40aa-8c00-2142605c3039</x:v>
      </x:c>
      <x:c r="M9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v>
      </x:c>
    </x:row>
    <x:row r="100" ht="48" customHeight="1">
      <x:c r="A100" s="21" t="str">
        <x:v>Драконорождённый</x:v>
      </x:c>
      <x:c r="B100" s="21" t="str">
        <x:v>Латунный</x:v>
      </x:c>
      <x:c r="C100" s="21" t="str">
        <x:v>RACE-0008</x:v>
      </x:c>
      <x:c r="D100" s="21" t="str">
        <x:v>sub-brass</x:v>
      </x:c>
      <x:c r="E100" s="21" t="str">
        <x:v>1c97e560-8f80-4a51-b18d-da9aad5cf26a</x:v>
      </x:c>
      <x:c r="F100" s="21" t="n">
        <x:v>1</x:v>
      </x:c>
      <x:c r="G100" s="21" t="str">
        <x:v>Trait</x:v>
      </x:c>
      <x:c r="H100" s="21" t="str">
        <x:v>Сопротивление урону</x:v>
      </x:c>
      <x:c r="I100" s="21" t="str">
        <x:v>Вы обладаете сопротивлением урону огню.</x:v>
      </x:c>
      <x:c r="J100" s="21" t="str">
        <x:v>verified_partial</x:v>
      </x:c>
      <x:c r="K100" s="21" t="str">
        <x:v>Passed</x:v>
      </x:c>
      <x:c r="L100" s="21" t="str">
        <x:v>dd46614d-738f-40aa-8c00-2142605c3039</x:v>
      </x:c>
      <x:c r="M10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v>
      </x:c>
    </x:row>
    <x:row r="101" ht="48" customHeight="1">
      <x:c r="A101" s="21" t="str">
        <x:v>Драконорождённый</x:v>
      </x:c>
      <x:c r="B101" s="21" t="str">
        <x:v>Латунный</x:v>
      </x:c>
      <x:c r="C101" s="21" t="str">
        <x:v>RACE-0008</x:v>
      </x:c>
      <x:c r="D101" s="21" t="str">
        <x:v>sub-brass</x:v>
      </x:c>
      <x:c r="E101" s="21" t="str">
        <x:v>1c97e560-8f80-4a51-b18d-da9aad5cf26a</x:v>
      </x:c>
      <x:c r="F101" s="21" t="n">
        <x:v>1</x:v>
      </x:c>
      <x:c r="G101" s="21" t="str">
        <x:v>Action</x:v>
      </x:c>
      <x:c r="H101" s="21" t="str">
        <x:v>Оружие дыхания (огонь)</x:v>
      </x:c>
      <x:c r="I101"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«огонь»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fire"}],"on_success":[{"dice":"1d10","kind":"damage","on_success":"half","scaling":{"dice":"1d10","per":"self_level_tier"},"type":"fire"}],"resolution":"save","who":"target"}]</x:v>
      </x:c>
      <x:c r="J101" s="21" t="str">
        <x:v>verified_mechanical</x:v>
      </x:c>
      <x:c r="K101" s="21" t="str">
        <x:v>Passed</x:v>
      </x:c>
      <x:c r="L101" s="21" t="str">
        <x:v>dd46614d-738f-40aa-8c00-2142605c3039</x:v>
      </x:c>
      <x:c r="M10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v>
      </x:c>
    </x:row>
    <x:row r="102" ht="48" customHeight="1">
      <x:c r="A102" s="21" t="str">
        <x:v>Драконорождённый</x:v>
      </x:c>
      <x:c r="B102" s="21" t="str">
        <x:v>Латунный</x:v>
      </x:c>
      <x:c r="C102" s="21" t="str">
        <x:v>RACE-0008</x:v>
      </x:c>
      <x:c r="D102" s="21" t="str">
        <x:v>sub-brass</x:v>
      </x:c>
      <x:c r="E102" s="21" t="str">
        <x:v>1c97e560-8f80-4a51-b18d-da9aad5cf26a</x:v>
      </x:c>
      <x:c r="F102" s="21" t="n">
        <x:v>1</x:v>
      </x:c>
      <x:c r="G102" s="21" t="str">
        <x:v>Effect</x:v>
      </x:c>
      <x:c r="H102" s="21" t="str">
        <x:v>Драконье сопротивление (огонь)</x:v>
      </x:c>
      <x:c r="I102" s="21" t="str">
        <x:v>Драконье наследие: сопротивление урону типа «огонь». | Activation: passive | Effects: [{"resolution":"auto","result":[{"damage_type":"fire","kind":"resistance","value":"resistance"}]}]</x:v>
      </x:c>
      <x:c r="J102" s="21" t="str">
        <x:v>verified_mechanical</x:v>
      </x:c>
      <x:c r="K102" s="21" t="str">
        <x:v>Passed</x:v>
      </x:c>
      <x:c r="L102" s="21" t="str">
        <x:v>dd46614d-738f-40aa-8c00-2142605c3039</x:v>
      </x:c>
      <x:c r="M10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dd46614d-738f-40aa-8c00-2142605c3039.</x:v>
      </x:c>
    </x:row>
    <x:row r="103" ht="48" customHeight="1">
      <x:c r="A103" s="21" t="str">
        <x:v>Драконорождённый</x:v>
      </x:c>
      <x:c r="B103" s="21" t="str">
        <x:v>Бронзовый</x:v>
      </x:c>
      <x:c r="C103" s="21" t="str">
        <x:v>RACE-0008</x:v>
      </x:c>
      <x:c r="D103" s="21" t="str">
        <x:v>sub-bronze</x:v>
      </x:c>
      <x:c r="E103" s="21" t="str">
        <x:v>df5eb7e6-ba8d-49b0-a42c-9b8b32270243</x:v>
      </x:c>
      <x:c r="F103" s="21" t="n">
        <x:v>1</x:v>
      </x:c>
      <x:c r="G103" s="21" t="str">
        <x:v>Species chassis</x:v>
      </x:c>
      <x:c r="H103" s="21" t="str">
        <x:v>Бронзовый</x:v>
      </x:c>
      <x:c r="I103" s="21" t="str">
        <x:v>Creature type —; size ; speed —; darkvision —. Ваши предки — бронзовые драконы морей, чья стихия — молния и шторм.</x:v>
      </x:c>
      <x:c r="J103" s="21" t="str">
        <x:v>verified_partial</x:v>
      </x:c>
      <x:c r="K103" s="21" t="str">
        <x:v>Passed</x:v>
      </x:c>
      <x:c r="L103" s="21" t="str">
        <x:v>3c7b84ef-c209-4e71-a090-eb0f43a986b7</x:v>
      </x:c>
      <x:c r="M10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v>
      </x:c>
    </x:row>
    <x:row r="104" ht="48" customHeight="1">
      <x:c r="A104" s="21" t="str">
        <x:v>Драконорождённый</x:v>
      </x:c>
      <x:c r="B104" s="21" t="str">
        <x:v>Бронзовый</x:v>
      </x:c>
      <x:c r="C104" s="21" t="str">
        <x:v>RACE-0008</x:v>
      </x:c>
      <x:c r="D104" s="21" t="str">
        <x:v>sub-bronze</x:v>
      </x:c>
      <x:c r="E104" s="21" t="str">
        <x:v>df5eb7e6-ba8d-49b0-a42c-9b8b32270243</x:v>
      </x:c>
      <x:c r="F104" s="21" t="n">
        <x:v>1</x:v>
      </x:c>
      <x:c r="G104" s="21" t="str">
        <x:v>Trait</x:v>
      </x:c>
      <x:c r="H104" s="21" t="str">
        <x:v>Оружие дыхания</x:v>
      </x:c>
      <x:c r="I104" s="21" t="str">
        <x:v>Электрическое дыхание. Вы получаете способность Оружие дыхания (число использований = бонус мастерства за Долгий отдых).</x:v>
      </x:c>
      <x:c r="J104" s="21" t="str">
        <x:v>verified_partial</x:v>
      </x:c>
      <x:c r="K104" s="21" t="str">
        <x:v>Passed</x:v>
      </x:c>
      <x:c r="L104" s="21" t="str">
        <x:v>3c7b84ef-c209-4e71-a090-eb0f43a986b7</x:v>
      </x:c>
      <x:c r="M10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v>
      </x:c>
    </x:row>
    <x:row r="105" ht="48" customHeight="1">
      <x:c r="A105" s="21" t="str">
        <x:v>Драконорождённый</x:v>
      </x:c>
      <x:c r="B105" s="21" t="str">
        <x:v>Бронзовый</x:v>
      </x:c>
      <x:c r="C105" s="21" t="str">
        <x:v>RACE-0008</x:v>
      </x:c>
      <x:c r="D105" s="21" t="str">
        <x:v>sub-bronze</x:v>
      </x:c>
      <x:c r="E105" s="21" t="str">
        <x:v>df5eb7e6-ba8d-49b0-a42c-9b8b32270243</x:v>
      </x:c>
      <x:c r="F105" s="21" t="n">
        <x:v>1</x:v>
      </x:c>
      <x:c r="G105" s="21" t="str">
        <x:v>Trait</x:v>
      </x:c>
      <x:c r="H105" s="21" t="str">
        <x:v>Сопротивление урону</x:v>
      </x:c>
      <x:c r="I105" s="21" t="str">
        <x:v>Вы обладаете сопротивлением урону молнии.</x:v>
      </x:c>
      <x:c r="J105" s="21" t="str">
        <x:v>verified_partial</x:v>
      </x:c>
      <x:c r="K105" s="21" t="str">
        <x:v>Passed</x:v>
      </x:c>
      <x:c r="L105" s="21" t="str">
        <x:v>3c7b84ef-c209-4e71-a090-eb0f43a986b7</x:v>
      </x:c>
      <x:c r="M10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v>
      </x:c>
    </x:row>
    <x:row r="106" ht="48" customHeight="1">
      <x:c r="A106" s="21" t="str">
        <x:v>Драконорождённый</x:v>
      </x:c>
      <x:c r="B106" s="21" t="str">
        <x:v>Бронзовый</x:v>
      </x:c>
      <x:c r="C106" s="21" t="str">
        <x:v>RACE-0008</x:v>
      </x:c>
      <x:c r="D106" s="21" t="str">
        <x:v>sub-bronze</x:v>
      </x:c>
      <x:c r="E106" s="21" t="str">
        <x:v>df5eb7e6-ba8d-49b0-a42c-9b8b32270243</x:v>
      </x:c>
      <x:c r="F106" s="21" t="n">
        <x:v>1</x:v>
      </x:c>
      <x:c r="G106" s="21" t="str">
        <x:v>Action</x:v>
      </x:c>
      <x:c r="H106" s="21" t="str">
        <x:v>Оружие дыхания (молния)</x:v>
      </x:c>
      <x:c r="I106"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«молния»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lightning"}],"on_success":[{"dice":"1d10","kind":"damage","on_success":"half","scaling":{"dice":"1d10","per":"self_level_tier"},"type":"lightning"}],"resolution":"save","who":"target"}]</x:v>
      </x:c>
      <x:c r="J106" s="21" t="str">
        <x:v>verified_mechanical</x:v>
      </x:c>
      <x:c r="K106" s="21" t="str">
        <x:v>Passed</x:v>
      </x:c>
      <x:c r="L106" s="21" t="str">
        <x:v>3c7b84ef-c209-4e71-a090-eb0f43a986b7</x:v>
      </x:c>
      <x:c r="M10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v>
      </x:c>
    </x:row>
    <x:row r="107" ht="48" customHeight="1">
      <x:c r="A107" s="21" t="str">
        <x:v>Драконорождённый</x:v>
      </x:c>
      <x:c r="B107" s="21" t="str">
        <x:v>Бронзовый</x:v>
      </x:c>
      <x:c r="C107" s="21" t="str">
        <x:v>RACE-0008</x:v>
      </x:c>
      <x:c r="D107" s="21" t="str">
        <x:v>sub-bronze</x:v>
      </x:c>
      <x:c r="E107" s="21" t="str">
        <x:v>df5eb7e6-ba8d-49b0-a42c-9b8b32270243</x:v>
      </x:c>
      <x:c r="F107" s="21" t="n">
        <x:v>1</x:v>
      </x:c>
      <x:c r="G107" s="21" t="str">
        <x:v>Effect</x:v>
      </x:c>
      <x:c r="H107" s="21" t="str">
        <x:v>Драконье сопротивление (молния)</x:v>
      </x:c>
      <x:c r="I107" s="21" t="str">
        <x:v>Драконье наследие: сопротивление урону типа «молния». | Activation: passive | Effects: [{"resolution":"auto","result":[{"damage_type":"lightning","kind":"resistance","value":"resistance"}]}]</x:v>
      </x:c>
      <x:c r="J107" s="21" t="str">
        <x:v>verified_mechanical</x:v>
      </x:c>
      <x:c r="K107" s="21" t="str">
        <x:v>Passed</x:v>
      </x:c>
      <x:c r="L107" s="21" t="str">
        <x:v>3c7b84ef-c209-4e71-a090-eb0f43a986b7</x:v>
      </x:c>
      <x:c r="M10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3c7b84ef-c209-4e71-a090-eb0f43a986b7.</x:v>
      </x:c>
    </x:row>
    <x:row r="108" ht="48" customHeight="1">
      <x:c r="A108" s="21" t="str">
        <x:v>Драконорождённый</x:v>
      </x:c>
      <x:c r="B108" s="21" t="str">
        <x:v>Медный</x:v>
      </x:c>
      <x:c r="C108" s="21" t="str">
        <x:v>RACE-0008</x:v>
      </x:c>
      <x:c r="D108" s="21" t="str">
        <x:v>sub-copper</x:v>
      </x:c>
      <x:c r="E108" s="21" t="str">
        <x:v>9a244fdc-d2ea-440e-a46c-327903c63a69</x:v>
      </x:c>
      <x:c r="F108" s="21" t="n">
        <x:v>1</x:v>
      </x:c>
      <x:c r="G108" s="21" t="str">
        <x:v>Species chassis</x:v>
      </x:c>
      <x:c r="H108" s="21" t="str">
        <x:v>Медный</x:v>
      </x:c>
      <x:c r="I108" s="21" t="str">
        <x:v>Creature type —; size ; speed —; darkvision —. Ваши предки — медные драконы холмов, хранители кислотных источников.</x:v>
      </x:c>
      <x:c r="J108" s="21" t="str">
        <x:v>verified_partial</x:v>
      </x:c>
      <x:c r="K108" s="21" t="str">
        <x:v>Passed</x:v>
      </x:c>
      <x:c r="L108" s="21" t="str">
        <x:v>f780a47e-7644-4c61-9ea8-b47823014f02</x:v>
      </x:c>
      <x:c r="M10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v>
      </x:c>
    </x:row>
    <x:row r="109" ht="48" customHeight="1">
      <x:c r="A109" s="21" t="str">
        <x:v>Драконорождённый</x:v>
      </x:c>
      <x:c r="B109" s="21" t="str">
        <x:v>Медный</x:v>
      </x:c>
      <x:c r="C109" s="21" t="str">
        <x:v>RACE-0008</x:v>
      </x:c>
      <x:c r="D109" s="21" t="str">
        <x:v>sub-copper</x:v>
      </x:c>
      <x:c r="E109" s="21" t="str">
        <x:v>9a244fdc-d2ea-440e-a46c-327903c63a69</x:v>
      </x:c>
      <x:c r="F109" s="21" t="n">
        <x:v>1</x:v>
      </x:c>
      <x:c r="G109" s="21" t="str">
        <x:v>Trait</x:v>
      </x:c>
      <x:c r="H109" s="21" t="str">
        <x:v>Оружие дыхания</x:v>
      </x:c>
      <x:c r="I109" s="21" t="str">
        <x:v>Кислотное дыхание. Вы получаете способность Оружие дыхания (число использований = бонус мастерства за Долгий отдых).</x:v>
      </x:c>
      <x:c r="J109" s="21" t="str">
        <x:v>verified_partial</x:v>
      </x:c>
      <x:c r="K109" s="21" t="str">
        <x:v>Passed</x:v>
      </x:c>
      <x:c r="L109" s="21" t="str">
        <x:v>f780a47e-7644-4c61-9ea8-b47823014f02</x:v>
      </x:c>
      <x:c r="M10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v>
      </x:c>
    </x:row>
    <x:row r="110" ht="48" customHeight="1">
      <x:c r="A110" s="21" t="str">
        <x:v>Драконорождённый</x:v>
      </x:c>
      <x:c r="B110" s="21" t="str">
        <x:v>Медный</x:v>
      </x:c>
      <x:c r="C110" s="21" t="str">
        <x:v>RACE-0008</x:v>
      </x:c>
      <x:c r="D110" s="21" t="str">
        <x:v>sub-copper</x:v>
      </x:c>
      <x:c r="E110" s="21" t="str">
        <x:v>9a244fdc-d2ea-440e-a46c-327903c63a69</x:v>
      </x:c>
      <x:c r="F110" s="21" t="n">
        <x:v>1</x:v>
      </x:c>
      <x:c r="G110" s="21" t="str">
        <x:v>Trait</x:v>
      </x:c>
      <x:c r="H110" s="21" t="str">
        <x:v>Сопротивление урону</x:v>
      </x:c>
      <x:c r="I110" s="21" t="str">
        <x:v>Вы обладаете сопротивлением урону кислоте.</x:v>
      </x:c>
      <x:c r="J110" s="21" t="str">
        <x:v>verified_partial</x:v>
      </x:c>
      <x:c r="K110" s="21" t="str">
        <x:v>Passed</x:v>
      </x:c>
      <x:c r="L110" s="21" t="str">
        <x:v>f780a47e-7644-4c61-9ea8-b47823014f02</x:v>
      </x:c>
      <x:c r="M11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v>
      </x:c>
    </x:row>
    <x:row r="111" ht="48" customHeight="1">
      <x:c r="A111" s="21" t="str">
        <x:v>Драконорождённый</x:v>
      </x:c>
      <x:c r="B111" s="21" t="str">
        <x:v>Медный</x:v>
      </x:c>
      <x:c r="C111" s="21" t="str">
        <x:v>RACE-0008</x:v>
      </x:c>
      <x:c r="D111" s="21" t="str">
        <x:v>sub-copper</x:v>
      </x:c>
      <x:c r="E111" s="21" t="str">
        <x:v>9a244fdc-d2ea-440e-a46c-327903c63a69</x:v>
      </x:c>
      <x:c r="F111" s="21" t="n">
        <x:v>1</x:v>
      </x:c>
      <x:c r="G111" s="21" t="str">
        <x:v>Action</x:v>
      </x:c>
      <x:c r="H111" s="21" t="str">
        <x:v>Оружие дыхания (кислота)</x:v>
      </x:c>
      <x:c r="I111"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«кислота»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acid"}],"on_success":[{"dice":"1d10","kind":"damage","on_success":"half","scaling":{"dice":"1d10","per":"self_level_tier"},"type":"acid"}],"resolution":"save","who":"target"}]</x:v>
      </x:c>
      <x:c r="J111" s="21" t="str">
        <x:v>verified_mechanical</x:v>
      </x:c>
      <x:c r="K111" s="21" t="str">
        <x:v>Passed</x:v>
      </x:c>
      <x:c r="L111" s="21" t="str">
        <x:v>f780a47e-7644-4c61-9ea8-b47823014f02</x:v>
      </x:c>
      <x:c r="M11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v>
      </x:c>
    </x:row>
    <x:row r="112" ht="48" customHeight="1">
      <x:c r="A112" s="21" t="str">
        <x:v>Драконорождённый</x:v>
      </x:c>
      <x:c r="B112" s="21" t="str">
        <x:v>Медный</x:v>
      </x:c>
      <x:c r="C112" s="21" t="str">
        <x:v>RACE-0008</x:v>
      </x:c>
      <x:c r="D112" s="21" t="str">
        <x:v>sub-copper</x:v>
      </x:c>
      <x:c r="E112" s="21" t="str">
        <x:v>9a244fdc-d2ea-440e-a46c-327903c63a69</x:v>
      </x:c>
      <x:c r="F112" s="21" t="n">
        <x:v>1</x:v>
      </x:c>
      <x:c r="G112" s="21" t="str">
        <x:v>Effect</x:v>
      </x:c>
      <x:c r="H112" s="21" t="str">
        <x:v>Драконье сопротивление (кислота)</x:v>
      </x:c>
      <x:c r="I112" s="21" t="str">
        <x:v>Драконье наследие: сопротивление урону типа «кислота». | Activation: passive | Effects: [{"resolution":"auto","result":[{"damage_type":"acid","kind":"resistance","value":"resistance"}]}]</x:v>
      </x:c>
      <x:c r="J112" s="21" t="str">
        <x:v>verified_mechanical</x:v>
      </x:c>
      <x:c r="K112" s="21" t="str">
        <x:v>Passed</x:v>
      </x:c>
      <x:c r="L112" s="21" t="str">
        <x:v>f780a47e-7644-4c61-9ea8-b47823014f02</x:v>
      </x:c>
      <x:c r="M11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f780a47e-7644-4c61-9ea8-b47823014f02.</x:v>
      </x:c>
    </x:row>
    <x:row r="113" ht="48" customHeight="1">
      <x:c r="A113" s="21" t="str">
        <x:v>Драконорождённый</x:v>
      </x:c>
      <x:c r="B113" s="21" t="str">
        <x:v>Золотой</x:v>
      </x:c>
      <x:c r="C113" s="21" t="str">
        <x:v>RACE-0008</x:v>
      </x:c>
      <x:c r="D113" s="21" t="str">
        <x:v>sub-gold</x:v>
      </x:c>
      <x:c r="E113" s="21" t="str">
        <x:v>dec43381-bae8-45bd-a1ba-d413d7677a67</x:v>
      </x:c>
      <x:c r="F113" s="21" t="n">
        <x:v>1</x:v>
      </x:c>
      <x:c r="G113" s="21" t="str">
        <x:v>Species chassis</x:v>
      </x:c>
      <x:c r="H113" s="21" t="str">
        <x:v>Золотой</x:v>
      </x:c>
      <x:c r="I113" s="21" t="str">
        <x:v>Creature type —; size ; speed —; darkvision —. Ваши предки — золотые драконы, символы мудрости и пламени.</x:v>
      </x:c>
      <x:c r="J113" s="21" t="str">
        <x:v>verified_partial</x:v>
      </x:c>
      <x:c r="K113" s="21" t="str">
        <x:v>Passed</x:v>
      </x:c>
      <x:c r="L113" s="21" t="str">
        <x:v>8487a92a-8080-436e-8ccb-ec3be66a213d</x:v>
      </x:c>
      <x:c r="M11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v>
      </x:c>
    </x:row>
    <x:row r="114" ht="48" customHeight="1">
      <x:c r="A114" s="21" t="str">
        <x:v>Драконорождённый</x:v>
      </x:c>
      <x:c r="B114" s="21" t="str">
        <x:v>Золотой</x:v>
      </x:c>
      <x:c r="C114" s="21" t="str">
        <x:v>RACE-0008</x:v>
      </x:c>
      <x:c r="D114" s="21" t="str">
        <x:v>sub-gold</x:v>
      </x:c>
      <x:c r="E114" s="21" t="str">
        <x:v>dec43381-bae8-45bd-a1ba-d413d7677a67</x:v>
      </x:c>
      <x:c r="F114" s="21" t="n">
        <x:v>1</x:v>
      </x:c>
      <x:c r="G114" s="21" t="str">
        <x:v>Trait</x:v>
      </x:c>
      <x:c r="H114" s="21" t="str">
        <x:v>Оружие дыхания</x:v>
      </x:c>
      <x:c r="I114" s="21" t="str">
        <x:v>Огненное дыхание. Вы получаете способность Оружие дыхания (число использований = бонус мастерства за Долгий отдых).</x:v>
      </x:c>
      <x:c r="J114" s="21" t="str">
        <x:v>verified_partial</x:v>
      </x:c>
      <x:c r="K114" s="21" t="str">
        <x:v>Passed</x:v>
      </x:c>
      <x:c r="L114" s="21" t="str">
        <x:v>8487a92a-8080-436e-8ccb-ec3be66a213d</x:v>
      </x:c>
      <x:c r="M11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v>
      </x:c>
    </x:row>
    <x:row r="115" ht="48" customHeight="1">
      <x:c r="A115" s="21" t="str">
        <x:v>Драконорождённый</x:v>
      </x:c>
      <x:c r="B115" s="21" t="str">
        <x:v>Золотой</x:v>
      </x:c>
      <x:c r="C115" s="21" t="str">
        <x:v>RACE-0008</x:v>
      </x:c>
      <x:c r="D115" s="21" t="str">
        <x:v>sub-gold</x:v>
      </x:c>
      <x:c r="E115" s="21" t="str">
        <x:v>dec43381-bae8-45bd-a1ba-d413d7677a67</x:v>
      </x:c>
      <x:c r="F115" s="21" t="n">
        <x:v>1</x:v>
      </x:c>
      <x:c r="G115" s="21" t="str">
        <x:v>Trait</x:v>
      </x:c>
      <x:c r="H115" s="21" t="str">
        <x:v>Сопротивление урону</x:v>
      </x:c>
      <x:c r="I115" s="21" t="str">
        <x:v>Вы обладаете сопротивлением урону огню.</x:v>
      </x:c>
      <x:c r="J115" s="21" t="str">
        <x:v>verified_partial</x:v>
      </x:c>
      <x:c r="K115" s="21" t="str">
        <x:v>Passed</x:v>
      </x:c>
      <x:c r="L115" s="21" t="str">
        <x:v>8487a92a-8080-436e-8ccb-ec3be66a213d</x:v>
      </x:c>
      <x:c r="M11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v>
      </x:c>
    </x:row>
    <x:row r="116" ht="48" customHeight="1">
      <x:c r="A116" s="21" t="str">
        <x:v>Драконорождённый</x:v>
      </x:c>
      <x:c r="B116" s="21" t="str">
        <x:v>Золотой</x:v>
      </x:c>
      <x:c r="C116" s="21" t="str">
        <x:v>RACE-0008</x:v>
      </x:c>
      <x:c r="D116" s="21" t="str">
        <x:v>sub-gold</x:v>
      </x:c>
      <x:c r="E116" s="21" t="str">
        <x:v>dec43381-bae8-45bd-a1ba-d413d7677a67</x:v>
      </x:c>
      <x:c r="F116" s="21" t="n">
        <x:v>1</x:v>
      </x:c>
      <x:c r="G116" s="21" t="str">
        <x:v>Action</x:v>
      </x:c>
      <x:c r="H116" s="21" t="str">
        <x:v>Оружие дыхания (огонь)</x:v>
      </x:c>
      <x:c r="I116"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«огонь»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fire"}],"on_success":[{"dice":"1d10","kind":"damage","on_success":"half","scaling":{"dice":"1d10","per":"self_level_tier"},"type":"fire"}],"resolution":"save","who":"target"}]</x:v>
      </x:c>
      <x:c r="J116" s="21" t="str">
        <x:v>verified_mechanical</x:v>
      </x:c>
      <x:c r="K116" s="21" t="str">
        <x:v>Passed</x:v>
      </x:c>
      <x:c r="L116" s="21" t="str">
        <x:v>8487a92a-8080-436e-8ccb-ec3be66a213d</x:v>
      </x:c>
      <x:c r="M11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v>
      </x:c>
    </x:row>
    <x:row r="117" ht="48" customHeight="1">
      <x:c r="A117" s="21" t="str">
        <x:v>Драконорождённый</x:v>
      </x:c>
      <x:c r="B117" s="21" t="str">
        <x:v>Золотой</x:v>
      </x:c>
      <x:c r="C117" s="21" t="str">
        <x:v>RACE-0008</x:v>
      </x:c>
      <x:c r="D117" s="21" t="str">
        <x:v>sub-gold</x:v>
      </x:c>
      <x:c r="E117" s="21" t="str">
        <x:v>dec43381-bae8-45bd-a1ba-d413d7677a67</x:v>
      </x:c>
      <x:c r="F117" s="21" t="n">
        <x:v>1</x:v>
      </x:c>
      <x:c r="G117" s="21" t="str">
        <x:v>Effect</x:v>
      </x:c>
      <x:c r="H117" s="21" t="str">
        <x:v>Драконье сопротивление (огонь)</x:v>
      </x:c>
      <x:c r="I117" s="21" t="str">
        <x:v>Драконье наследие: сопротивление урону типа «огонь». | Activation: passive | Effects: [{"resolution":"auto","result":[{"damage_type":"fire","kind":"resistance","value":"resistance"}]}]</x:v>
      </x:c>
      <x:c r="J117" s="21" t="str">
        <x:v>verified_mechanical</x:v>
      </x:c>
      <x:c r="K117" s="21" t="str">
        <x:v>Passed</x:v>
      </x:c>
      <x:c r="L117" s="21" t="str">
        <x:v>8487a92a-8080-436e-8ccb-ec3be66a213d</x:v>
      </x:c>
      <x:c r="M11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8487a92a-8080-436e-8ccb-ec3be66a213d.</x:v>
      </x:c>
    </x:row>
    <x:row r="118" ht="48" customHeight="1">
      <x:c r="A118" s="21" t="str">
        <x:v>Драконорождённый</x:v>
      </x:c>
      <x:c r="B118" s="21" t="str">
        <x:v>Зелёный</x:v>
      </x:c>
      <x:c r="C118" s="21" t="str">
        <x:v>RACE-0008</x:v>
      </x:c>
      <x:c r="D118" s="21" t="str">
        <x:v>sub-green</x:v>
      </x:c>
      <x:c r="E118" s="21" t="str">
        <x:v>5ab51cec-28e4-4d8c-abd8-acd4b4b896b9</x:v>
      </x:c>
      <x:c r="F118" s="21" t="n">
        <x:v>1</x:v>
      </x:c>
      <x:c r="G118" s="21" t="str">
        <x:v>Species chassis</x:v>
      </x:c>
      <x:c r="H118" s="21" t="str">
        <x:v>Зелёный</x:v>
      </x:c>
      <x:c r="I118" s="21" t="str">
        <x:v>Creature type —; size ; speed —; darkvision —. Ваши предки — зелёные драконы лесов, чья магия отравлена и коварна.</x:v>
      </x:c>
      <x:c r="J118" s="21" t="str">
        <x:v>verified_partial</x:v>
      </x:c>
      <x:c r="K118" s="21" t="str">
        <x:v>Passed</x:v>
      </x:c>
      <x:c r="L118" s="21" t="str">
        <x:v>671b3277-6fe2-46de-9516-6fbf4e162d66</x:v>
      </x:c>
      <x:c r="M11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v>
      </x:c>
    </x:row>
    <x:row r="119" ht="48" customHeight="1">
      <x:c r="A119" s="21" t="str">
        <x:v>Драконорождённый</x:v>
      </x:c>
      <x:c r="B119" s="21" t="str">
        <x:v>Зелёный</x:v>
      </x:c>
      <x:c r="C119" s="21" t="str">
        <x:v>RACE-0008</x:v>
      </x:c>
      <x:c r="D119" s="21" t="str">
        <x:v>sub-green</x:v>
      </x:c>
      <x:c r="E119" s="21" t="str">
        <x:v>5ab51cec-28e4-4d8c-abd8-acd4b4b896b9</x:v>
      </x:c>
      <x:c r="F119" s="21" t="n">
        <x:v>1</x:v>
      </x:c>
      <x:c r="G119" s="21" t="str">
        <x:v>Trait</x:v>
      </x:c>
      <x:c r="H119" s="21" t="str">
        <x:v>Оружие дыхания</x:v>
      </x:c>
      <x:c r="I119" s="21" t="str">
        <x:v>Ядовитое дыхание. Вы получаете способность Оружие дыхания (число использований = бонус мастерства за Долгий отдых).</x:v>
      </x:c>
      <x:c r="J119" s="21" t="str">
        <x:v>verified_partial</x:v>
      </x:c>
      <x:c r="K119" s="21" t="str">
        <x:v>Passed</x:v>
      </x:c>
      <x:c r="L119" s="21" t="str">
        <x:v>671b3277-6fe2-46de-9516-6fbf4e162d66</x:v>
      </x:c>
      <x:c r="M11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v>
      </x:c>
    </x:row>
    <x:row r="120" ht="48" customHeight="1">
      <x:c r="A120" s="21" t="str">
        <x:v>Драконорождённый</x:v>
      </x:c>
      <x:c r="B120" s="21" t="str">
        <x:v>Зелёный</x:v>
      </x:c>
      <x:c r="C120" s="21" t="str">
        <x:v>RACE-0008</x:v>
      </x:c>
      <x:c r="D120" s="21" t="str">
        <x:v>sub-green</x:v>
      </x:c>
      <x:c r="E120" s="21" t="str">
        <x:v>5ab51cec-28e4-4d8c-abd8-acd4b4b896b9</x:v>
      </x:c>
      <x:c r="F120" s="21" t="n">
        <x:v>1</x:v>
      </x:c>
      <x:c r="G120" s="21" t="str">
        <x:v>Trait</x:v>
      </x:c>
      <x:c r="H120" s="21" t="str">
        <x:v>Сопротивление урону</x:v>
      </x:c>
      <x:c r="I120" s="21" t="str">
        <x:v>Вы обладаете сопротивлением урону яду.</x:v>
      </x:c>
      <x:c r="J120" s="21" t="str">
        <x:v>verified_partial</x:v>
      </x:c>
      <x:c r="K120" s="21" t="str">
        <x:v>Passed</x:v>
      </x:c>
      <x:c r="L120" s="21" t="str">
        <x:v>671b3277-6fe2-46de-9516-6fbf4e162d66</x:v>
      </x:c>
      <x:c r="M12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v>
      </x:c>
    </x:row>
    <x:row r="121" ht="48" customHeight="1">
      <x:c r="A121" s="21" t="str">
        <x:v>Драконорождённый</x:v>
      </x:c>
      <x:c r="B121" s="21" t="str">
        <x:v>Зелёный</x:v>
      </x:c>
      <x:c r="C121" s="21" t="str">
        <x:v>RACE-0008</x:v>
      </x:c>
      <x:c r="D121" s="21" t="str">
        <x:v>sub-green</x:v>
      </x:c>
      <x:c r="E121" s="21" t="str">
        <x:v>5ab51cec-28e4-4d8c-abd8-acd4b4b896b9</x:v>
      </x:c>
      <x:c r="F121" s="21" t="n">
        <x:v>1</x:v>
      </x:c>
      <x:c r="G121" s="21" t="str">
        <x:v>Action</x:v>
      </x:c>
      <x:c r="H121" s="21" t="str">
        <x:v>Оружие дыхания (яд)</x:v>
      </x:c>
      <x:c r="I121"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«яд»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poison"}],"on_success":[{"dice":"1d10","kind":"damage","on_success":"half","scaling":{"dice":"1d10","per":"self_level_tier"},"type":"poison"}],"resolution":"save","who":"target"}]</x:v>
      </x:c>
      <x:c r="J121" s="21" t="str">
        <x:v>verified_mechanical</x:v>
      </x:c>
      <x:c r="K121" s="21" t="str">
        <x:v>Passed</x:v>
      </x:c>
      <x:c r="L121" s="21" t="str">
        <x:v>671b3277-6fe2-46de-9516-6fbf4e162d66</x:v>
      </x:c>
      <x:c r="M12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v>
      </x:c>
    </x:row>
    <x:row r="122" ht="48" customHeight="1">
      <x:c r="A122" s="21" t="str">
        <x:v>Драконорождённый</x:v>
      </x:c>
      <x:c r="B122" s="21" t="str">
        <x:v>Зелёный</x:v>
      </x:c>
      <x:c r="C122" s="21" t="str">
        <x:v>RACE-0008</x:v>
      </x:c>
      <x:c r="D122" s="21" t="str">
        <x:v>sub-green</x:v>
      </x:c>
      <x:c r="E122" s="21" t="str">
        <x:v>5ab51cec-28e4-4d8c-abd8-acd4b4b896b9</x:v>
      </x:c>
      <x:c r="F122" s="21" t="n">
        <x:v>1</x:v>
      </x:c>
      <x:c r="G122" s="21" t="str">
        <x:v>Effect</x:v>
      </x:c>
      <x:c r="H122" s="21" t="str">
        <x:v>Драконье сопротивление (яд)</x:v>
      </x:c>
      <x:c r="I122" s="21" t="str">
        <x:v>Драконье наследие: сопротивление урону типа «яд». | Activation: passive | Effects: [{"resolution":"auto","result":[{"damage_type":"poison","kind":"resistance","value":"resistance"}]}]</x:v>
      </x:c>
      <x:c r="J122" s="21" t="str">
        <x:v>verified_mechanical</x:v>
      </x:c>
      <x:c r="K122" s="21" t="str">
        <x:v>Passed</x:v>
      </x:c>
      <x:c r="L122" s="21" t="str">
        <x:v>671b3277-6fe2-46de-9516-6fbf4e162d66</x:v>
      </x:c>
      <x:c r="M12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671b3277-6fe2-46de-9516-6fbf4e162d66.</x:v>
      </x:c>
    </x:row>
    <x:row r="123" ht="48" customHeight="1">
      <x:c r="A123" s="21" t="str">
        <x:v>Драконорождённый</x:v>
      </x:c>
      <x:c r="B123" s="21" t="str">
        <x:v>Красный</x:v>
      </x:c>
      <x:c r="C123" s="21" t="str">
        <x:v>RACE-0008</x:v>
      </x:c>
      <x:c r="D123" s="21" t="str">
        <x:v>sub-red</x:v>
      </x:c>
      <x:c r="E123" s="21" t="str">
        <x:v>b63ce5e6-a325-4ec0-bfd9-4d387e8112f1</x:v>
      </x:c>
      <x:c r="F123" s="21" t="n">
        <x:v>1</x:v>
      </x:c>
      <x:c r="G123" s="21" t="str">
        <x:v>Species chassis</x:v>
      </x:c>
      <x:c r="H123" s="21" t="str">
        <x:v>Красный</x:v>
      </x:c>
      <x:c r="I123" s="21" t="str">
        <x:v>Creature type —; size ; speed —; darkvision —. Ваши предки — красные драконы, повелители огня и сокровищ.</x:v>
      </x:c>
      <x:c r="J123" s="21" t="str">
        <x:v>verified_partial</x:v>
      </x:c>
      <x:c r="K123" s="21" t="str">
        <x:v>Passed</x:v>
      </x:c>
      <x:c r="L123" s="21" t="str">
        <x:v>89f8fefe-acf2-45bc-86e1-960d8cb49188</x:v>
      </x:c>
      <x:c r="M12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v>
      </x:c>
    </x:row>
    <x:row r="124" ht="48" customHeight="1">
      <x:c r="A124" s="21" t="str">
        <x:v>Драконорождённый</x:v>
      </x:c>
      <x:c r="B124" s="21" t="str">
        <x:v>Красный</x:v>
      </x:c>
      <x:c r="C124" s="21" t="str">
        <x:v>RACE-0008</x:v>
      </x:c>
      <x:c r="D124" s="21" t="str">
        <x:v>sub-red</x:v>
      </x:c>
      <x:c r="E124" s="21" t="str">
        <x:v>b63ce5e6-a325-4ec0-bfd9-4d387e8112f1</x:v>
      </x:c>
      <x:c r="F124" s="21" t="n">
        <x:v>1</x:v>
      </x:c>
      <x:c r="G124" s="21" t="str">
        <x:v>Trait</x:v>
      </x:c>
      <x:c r="H124" s="21" t="str">
        <x:v>Оружие дыхания</x:v>
      </x:c>
      <x:c r="I124" s="21" t="str">
        <x:v>Огненное дыхание. Вы получаете способность Оружие дыхания (число использований = бонус мастерства за Долгий отдых).</x:v>
      </x:c>
      <x:c r="J124" s="21" t="str">
        <x:v>verified_partial</x:v>
      </x:c>
      <x:c r="K124" s="21" t="str">
        <x:v>Passed</x:v>
      </x:c>
      <x:c r="L124" s="21" t="str">
        <x:v>89f8fefe-acf2-45bc-86e1-960d8cb49188</x:v>
      </x:c>
      <x:c r="M12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v>
      </x:c>
    </x:row>
    <x:row r="125" ht="48" customHeight="1">
      <x:c r="A125" s="21" t="str">
        <x:v>Драконорождённый</x:v>
      </x:c>
      <x:c r="B125" s="21" t="str">
        <x:v>Красный</x:v>
      </x:c>
      <x:c r="C125" s="21" t="str">
        <x:v>RACE-0008</x:v>
      </x:c>
      <x:c r="D125" s="21" t="str">
        <x:v>sub-red</x:v>
      </x:c>
      <x:c r="E125" s="21" t="str">
        <x:v>b63ce5e6-a325-4ec0-bfd9-4d387e8112f1</x:v>
      </x:c>
      <x:c r="F125" s="21" t="n">
        <x:v>1</x:v>
      </x:c>
      <x:c r="G125" s="21" t="str">
        <x:v>Trait</x:v>
      </x:c>
      <x:c r="H125" s="21" t="str">
        <x:v>Сопротивление урону</x:v>
      </x:c>
      <x:c r="I125" s="21" t="str">
        <x:v>Вы обладаете сопротивлением урону огню.</x:v>
      </x:c>
      <x:c r="J125" s="21" t="str">
        <x:v>verified_partial</x:v>
      </x:c>
      <x:c r="K125" s="21" t="str">
        <x:v>Passed</x:v>
      </x:c>
      <x:c r="L125" s="21" t="str">
        <x:v>89f8fefe-acf2-45bc-86e1-960d8cb49188</x:v>
      </x:c>
      <x:c r="M12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v>
      </x:c>
    </x:row>
    <x:row r="126" ht="48" customHeight="1">
      <x:c r="A126" s="21" t="str">
        <x:v>Драконорождённый</x:v>
      </x:c>
      <x:c r="B126" s="21" t="str">
        <x:v>Красный</x:v>
      </x:c>
      <x:c r="C126" s="21" t="str">
        <x:v>RACE-0008</x:v>
      </x:c>
      <x:c r="D126" s="21" t="str">
        <x:v>sub-red</x:v>
      </x:c>
      <x:c r="E126" s="21" t="str">
        <x:v>b63ce5e6-a325-4ec0-bfd9-4d387e8112f1</x:v>
      </x:c>
      <x:c r="F126" s="21" t="n">
        <x:v>1</x:v>
      </x:c>
      <x:c r="G126" s="21" t="str">
        <x:v>Action</x:v>
      </x:c>
      <x:c r="H126" s="21" t="str">
        <x:v>Оружие дыхания (огонь)</x:v>
      </x:c>
      <x:c r="I126"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«огонь»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fire"}],"on_success":[{"dice":"1d10","kind":"damage","on_success":"half","scaling":{"dice":"1d10","per":"self_level_tier"},"type":"fire"}],"resolution":"save","who":"target"}]</x:v>
      </x:c>
      <x:c r="J126" s="21" t="str">
        <x:v>verified_mechanical</x:v>
      </x:c>
      <x:c r="K126" s="21" t="str">
        <x:v>Passed</x:v>
      </x:c>
      <x:c r="L126" s="21" t="str">
        <x:v>89f8fefe-acf2-45bc-86e1-960d8cb49188</x:v>
      </x:c>
      <x:c r="M12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v>
      </x:c>
    </x:row>
    <x:row r="127" ht="48" customHeight="1">
      <x:c r="A127" s="21" t="str">
        <x:v>Драконорождённый</x:v>
      </x:c>
      <x:c r="B127" s="21" t="str">
        <x:v>Красный</x:v>
      </x:c>
      <x:c r="C127" s="21" t="str">
        <x:v>RACE-0008</x:v>
      </x:c>
      <x:c r="D127" s="21" t="str">
        <x:v>sub-red</x:v>
      </x:c>
      <x:c r="E127" s="21" t="str">
        <x:v>b63ce5e6-a325-4ec0-bfd9-4d387e8112f1</x:v>
      </x:c>
      <x:c r="F127" s="21" t="n">
        <x:v>1</x:v>
      </x:c>
      <x:c r="G127" s="21" t="str">
        <x:v>Effect</x:v>
      </x:c>
      <x:c r="H127" s="21" t="str">
        <x:v>Драконье сопротивление (огонь)</x:v>
      </x:c>
      <x:c r="I127" s="21" t="str">
        <x:v>Драконье наследие: сопротивление урону типа «огонь». | Activation: passive | Effects: [{"resolution":"auto","result":[{"damage_type":"fire","kind":"resistance","value":"resistance"}]}]</x:v>
      </x:c>
      <x:c r="J127" s="21" t="str">
        <x:v>verified_mechanical</x:v>
      </x:c>
      <x:c r="K127" s="21" t="str">
        <x:v>Passed</x:v>
      </x:c>
      <x:c r="L127" s="21" t="str">
        <x:v>89f8fefe-acf2-45bc-86e1-960d8cb49188</x:v>
      </x:c>
      <x:c r="M12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89f8fefe-acf2-45bc-86e1-960d8cb49188.</x:v>
      </x:c>
    </x:row>
    <x:row r="128" ht="48" customHeight="1">
      <x:c r="A128" s="21" t="str">
        <x:v>Драконорождённый</x:v>
      </x:c>
      <x:c r="B128" s="21" t="str">
        <x:v>Серебряный</x:v>
      </x:c>
      <x:c r="C128" s="21" t="str">
        <x:v>RACE-0008</x:v>
      </x:c>
      <x:c r="D128" s="21" t="str">
        <x:v>sub-silver</x:v>
      </x:c>
      <x:c r="E128" s="21" t="str">
        <x:v>bed8127d-4206-402d-a9dd-39b2bd8a4f44</x:v>
      </x:c>
      <x:c r="F128" s="21" t="n">
        <x:v>1</x:v>
      </x:c>
      <x:c r="G128" s="21" t="str">
        <x:v>Species chassis</x:v>
      </x:c>
      <x:c r="H128" s="21" t="str">
        <x:v>Серебряный</x:v>
      </x:c>
      <x:c r="I128" s="21" t="str">
        <x:v>Creature type —; size ; speed —; darkvision —. Ваши предки — серебряные драконы, стражи холодных вершин.</x:v>
      </x:c>
      <x:c r="J128" s="21" t="str">
        <x:v>verified_partial</x:v>
      </x:c>
      <x:c r="K128" s="21" t="str">
        <x:v>Passed</x:v>
      </x:c>
      <x:c r="L128" s="21" t="str">
        <x:v>eb326d6e-aa85-4937-8380-d41a21376af6</x:v>
      </x:c>
      <x:c r="M128"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v>
      </x:c>
    </x:row>
    <x:row r="129" ht="48" customHeight="1">
      <x:c r="A129" s="21" t="str">
        <x:v>Драконорождённый</x:v>
      </x:c>
      <x:c r="B129" s="21" t="str">
        <x:v>Серебряный</x:v>
      </x:c>
      <x:c r="C129" s="21" t="str">
        <x:v>RACE-0008</x:v>
      </x:c>
      <x:c r="D129" s="21" t="str">
        <x:v>sub-silver</x:v>
      </x:c>
      <x:c r="E129" s="21" t="str">
        <x:v>bed8127d-4206-402d-a9dd-39b2bd8a4f44</x:v>
      </x:c>
      <x:c r="F129" s="21" t="n">
        <x:v>1</x:v>
      </x:c>
      <x:c r="G129" s="21" t="str">
        <x:v>Trait</x:v>
      </x:c>
      <x:c r="H129" s="21" t="str">
        <x:v>Оружие дыхания</x:v>
      </x:c>
      <x:c r="I129" s="21" t="str">
        <x:v>Холодное дыхание. Вы получаете способность Оружие дыхания (число использований = бонус мастерства за Долгий отдых).</x:v>
      </x:c>
      <x:c r="J129" s="21" t="str">
        <x:v>verified_partial</x:v>
      </x:c>
      <x:c r="K129" s="21" t="str">
        <x:v>Passed</x:v>
      </x:c>
      <x:c r="L129" s="21" t="str">
        <x:v>eb326d6e-aa85-4937-8380-d41a21376af6</x:v>
      </x:c>
      <x:c r="M129"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v>
      </x:c>
    </x:row>
    <x:row r="130" ht="48" customHeight="1">
      <x:c r="A130" s="21" t="str">
        <x:v>Драконорождённый</x:v>
      </x:c>
      <x:c r="B130" s="21" t="str">
        <x:v>Серебряный</x:v>
      </x:c>
      <x:c r="C130" s="21" t="str">
        <x:v>RACE-0008</x:v>
      </x:c>
      <x:c r="D130" s="21" t="str">
        <x:v>sub-silver</x:v>
      </x:c>
      <x:c r="E130" s="21" t="str">
        <x:v>bed8127d-4206-402d-a9dd-39b2bd8a4f44</x:v>
      </x:c>
      <x:c r="F130" s="21" t="n">
        <x:v>1</x:v>
      </x:c>
      <x:c r="G130" s="21" t="str">
        <x:v>Trait</x:v>
      </x:c>
      <x:c r="H130" s="21" t="str">
        <x:v>Сопротивление урону</x:v>
      </x:c>
      <x:c r="I130" s="21" t="str">
        <x:v>Вы обладаете сопротивлением урону холоду.</x:v>
      </x:c>
      <x:c r="J130" s="21" t="str">
        <x:v>verified_partial</x:v>
      </x:c>
      <x:c r="K130" s="21" t="str">
        <x:v>Passed</x:v>
      </x:c>
      <x:c r="L130" s="21" t="str">
        <x:v>eb326d6e-aa85-4937-8380-d41a21376af6</x:v>
      </x:c>
      <x:c r="M130"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v>
      </x:c>
    </x:row>
    <x:row r="131" ht="48" customHeight="1">
      <x:c r="A131" s="21" t="str">
        <x:v>Драконорождённый</x:v>
      </x:c>
      <x:c r="B131" s="21" t="str">
        <x:v>Серебряный</x:v>
      </x:c>
      <x:c r="C131" s="21" t="str">
        <x:v>RACE-0008</x:v>
      </x:c>
      <x:c r="D131" s="21" t="str">
        <x:v>sub-silver</x:v>
      </x:c>
      <x:c r="E131" s="21" t="str">
        <x:v>bed8127d-4206-402d-a9dd-39b2bd8a4f44</x:v>
      </x:c>
      <x:c r="F131" s="21" t="n">
        <x:v>1</x:v>
      </x:c>
      <x:c r="G131" s="21" t="str">
        <x:v>Action</x:v>
      </x:c>
      <x:c r="H131" s="21" t="str">
        <x:v>Оружие дыхания (холод)</x:v>
      </x:c>
      <x:c r="I131"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«холод»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cold"}],"on_success":[{"dice":"1d10","kind":"damage","on_success":"half","scaling":{"dice":"1d10","per":"self_level_tier"},"type":"cold"}],"resolution":"save","who":"target"}]</x:v>
      </x:c>
      <x:c r="J131" s="21" t="str">
        <x:v>verified_mechanical</x:v>
      </x:c>
      <x:c r="K131" s="21" t="str">
        <x:v>Passed</x:v>
      </x:c>
      <x:c r="L131" s="21" t="str">
        <x:v>eb326d6e-aa85-4937-8380-d41a21376af6</x:v>
      </x:c>
      <x:c r="M131"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v>
      </x:c>
    </x:row>
    <x:row r="132" ht="48" customHeight="1">
      <x:c r="A132" s="21" t="str">
        <x:v>Драконорождённый</x:v>
      </x:c>
      <x:c r="B132" s="21" t="str">
        <x:v>Серебряный</x:v>
      </x:c>
      <x:c r="C132" s="21" t="str">
        <x:v>RACE-0008</x:v>
      </x:c>
      <x:c r="D132" s="21" t="str">
        <x:v>sub-silver</x:v>
      </x:c>
      <x:c r="E132" s="21" t="str">
        <x:v>bed8127d-4206-402d-a9dd-39b2bd8a4f44</x:v>
      </x:c>
      <x:c r="F132" s="21" t="n">
        <x:v>1</x:v>
      </x:c>
      <x:c r="G132" s="21" t="str">
        <x:v>Effect</x:v>
      </x:c>
      <x:c r="H132" s="21" t="str">
        <x:v>Драконье сопротивление (холод)</x:v>
      </x:c>
      <x:c r="I132" s="21" t="str">
        <x:v>Драконье наследие: сопротивление урону типа «холод». | Activation: passive | Effects: [{"resolution":"auto","result":[{"damage_type":"cold","kind":"resistance","value":"resistance"}]}]</x:v>
      </x:c>
      <x:c r="J132" s="21" t="str">
        <x:v>verified_mechanical</x:v>
      </x:c>
      <x:c r="K132" s="21" t="str">
        <x:v>Passed</x:v>
      </x:c>
      <x:c r="L132" s="21" t="str">
        <x:v>eb326d6e-aa85-4937-8380-d41a21376af6</x:v>
      </x:c>
      <x:c r="M132"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eb326d6e-aa85-4937-8380-d41a21376af6.</x:v>
      </x:c>
    </x:row>
    <x:row r="133" ht="48" customHeight="1">
      <x:c r="A133" s="21" t="str">
        <x:v>Драконорождённый</x:v>
      </x:c>
      <x:c r="B133" s="21" t="str">
        <x:v>Белый</x:v>
      </x:c>
      <x:c r="C133" s="21" t="str">
        <x:v>RACE-0008</x:v>
      </x:c>
      <x:c r="D133" s="21" t="str">
        <x:v>sub-white</x:v>
      </x:c>
      <x:c r="E133" s="21" t="str">
        <x:v>aa0f144a-2364-46b2-af6f-213b6b7a4a31</x:v>
      </x:c>
      <x:c r="F133" s="21" t="n">
        <x:v>1</x:v>
      </x:c>
      <x:c r="G133" s="21" t="str">
        <x:v>Species chassis</x:v>
      </x:c>
      <x:c r="H133" s="21" t="str">
        <x:v>Белый</x:v>
      </x:c>
      <x:c r="I133" s="21" t="str">
        <x:v>Creature type —; size ; speed —; darkvision —. Ваши предки — белые драконы ледяных пустошей.</x:v>
      </x:c>
      <x:c r="J133" s="21" t="str">
        <x:v>verified_partial</x:v>
      </x:c>
      <x:c r="K133" s="21" t="str">
        <x:v>Passed</x:v>
      </x:c>
      <x:c r="L133" s="21" t="str">
        <x:v>aeea4d2e-42da-452a-8af8-1f50ab9d3ad4</x:v>
      </x:c>
      <x:c r="M133"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v>
      </x:c>
    </x:row>
    <x:row r="134" ht="48" customHeight="1">
      <x:c r="A134" s="21" t="str">
        <x:v>Драконорождённый</x:v>
      </x:c>
      <x:c r="B134" s="21" t="str">
        <x:v>Белый</x:v>
      </x:c>
      <x:c r="C134" s="21" t="str">
        <x:v>RACE-0008</x:v>
      </x:c>
      <x:c r="D134" s="21" t="str">
        <x:v>sub-white</x:v>
      </x:c>
      <x:c r="E134" s="21" t="str">
        <x:v>aa0f144a-2364-46b2-af6f-213b6b7a4a31</x:v>
      </x:c>
      <x:c r="F134" s="21" t="n">
        <x:v>1</x:v>
      </x:c>
      <x:c r="G134" s="21" t="str">
        <x:v>Trait</x:v>
      </x:c>
      <x:c r="H134" s="21" t="str">
        <x:v>Оружие дыхания</x:v>
      </x:c>
      <x:c r="I134" s="21" t="str">
        <x:v>Холодное дыхание. Вы получаете способность Оружие дыхания (число использований = бонус мастерства за Долгий отдых).</x:v>
      </x:c>
      <x:c r="J134" s="21" t="str">
        <x:v>verified_partial</x:v>
      </x:c>
      <x:c r="K134" s="21" t="str">
        <x:v>Passed</x:v>
      </x:c>
      <x:c r="L134" s="21" t="str">
        <x:v>aeea4d2e-42da-452a-8af8-1f50ab9d3ad4</x:v>
      </x:c>
      <x:c r="M134"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v>
      </x:c>
    </x:row>
    <x:row r="135" ht="48" customHeight="1">
      <x:c r="A135" s="21" t="str">
        <x:v>Драконорождённый</x:v>
      </x:c>
      <x:c r="B135" s="21" t="str">
        <x:v>Белый</x:v>
      </x:c>
      <x:c r="C135" s="21" t="str">
        <x:v>RACE-0008</x:v>
      </x:c>
      <x:c r="D135" s="21" t="str">
        <x:v>sub-white</x:v>
      </x:c>
      <x:c r="E135" s="21" t="str">
        <x:v>aa0f144a-2364-46b2-af6f-213b6b7a4a31</x:v>
      </x:c>
      <x:c r="F135" s="21" t="n">
        <x:v>1</x:v>
      </x:c>
      <x:c r="G135" s="21" t="str">
        <x:v>Trait</x:v>
      </x:c>
      <x:c r="H135" s="21" t="str">
        <x:v>Сопротивление урону</x:v>
      </x:c>
      <x:c r="I135" s="21" t="str">
        <x:v>Вы обладаете сопротивлением урону холоду.</x:v>
      </x:c>
      <x:c r="J135" s="21" t="str">
        <x:v>verified_partial</x:v>
      </x:c>
      <x:c r="K135" s="21" t="str">
        <x:v>Passed</x:v>
      </x:c>
      <x:c r="L135" s="21" t="str">
        <x:v>aeea4d2e-42da-452a-8af8-1f50ab9d3ad4</x:v>
      </x:c>
      <x:c r="M135"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v>
      </x:c>
    </x:row>
    <x:row r="136" ht="48" customHeight="1">
      <x:c r="A136" s="21" t="str">
        <x:v>Драконорождённый</x:v>
      </x:c>
      <x:c r="B136" s="21" t="str">
        <x:v>Белый</x:v>
      </x:c>
      <x:c r="C136" s="21" t="str">
        <x:v>RACE-0008</x:v>
      </x:c>
      <x:c r="D136" s="21" t="str">
        <x:v>sub-white</x:v>
      </x:c>
      <x:c r="E136" s="21" t="str">
        <x:v>aa0f144a-2364-46b2-af6f-213b6b7a4a31</x:v>
      </x:c>
      <x:c r="F136" s="21" t="n">
        <x:v>1</x:v>
      </x:c>
      <x:c r="G136" s="21" t="str">
        <x:v>Action</x:v>
      </x:c>
      <x:c r="H136" s="21" t="str">
        <x:v>Оружие дыхания (холод)</x:v>
      </x:c>
      <x:c r="I136" s="21" t="str">
        <x:v>Действием выдохните разрушительную энергию в конусе 15 футов. Все в области делают спасбросок Ловкости (СЛ 8 + мастерство + Телосложение), получая {кости} урона типа «холод» при провале и половину при успехе. Профбонус раз/долгий отдых. | Activation: active; cost action, self_uses | Targeting: {"actor_targets":true,"allowed_relations":["ally","enemy","neutral"],"area":{"kind":"cone","size_ft":15},"domain":"mixed","filter":"any","max_targets":8,"min_targets":0,"range_ft":15,"requires_line_of_sight":false,"shape":"area"} | Effects: [{"ability":"dex","dc":"8+prof+con","on_fail":[{"dice":"1d10","kind":"damage","scaling":{"dice":"1d10","per":"self_level_tier"},"type":"cold"}],"on_success":[{"dice":"1d10","kind":"damage","on_success":"half","scaling":{"dice":"1d10","per":"self_level_tier"},"type":"cold"}],"resolution":"save","who":"target"}]</x:v>
      </x:c>
      <x:c r="J136" s="21" t="str">
        <x:v>verified_mechanical</x:v>
      </x:c>
      <x:c r="K136" s="21" t="str">
        <x:v>Passed</x:v>
      </x:c>
      <x:c r="L136" s="21" t="str">
        <x:v>aeea4d2e-42da-452a-8af8-1f50ab9d3ad4</x:v>
      </x:c>
      <x:c r="M136"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v>
      </x:c>
    </x:row>
    <x:row r="137" ht="48" customHeight="1">
      <x:c r="A137" s="21" t="str">
        <x:v>Драконорождённый</x:v>
      </x:c>
      <x:c r="B137" s="21" t="str">
        <x:v>Белый</x:v>
      </x:c>
      <x:c r="C137" s="21" t="str">
        <x:v>RACE-0008</x:v>
      </x:c>
      <x:c r="D137" s="21" t="str">
        <x:v>sub-white</x:v>
      </x:c>
      <x:c r="E137" s="21" t="str">
        <x:v>aa0f144a-2364-46b2-af6f-213b6b7a4a31</x:v>
      </x:c>
      <x:c r="F137" s="21" t="n">
        <x:v>1</x:v>
      </x:c>
      <x:c r="G137" s="21" t="str">
        <x:v>Effect</x:v>
      </x:c>
      <x:c r="H137" s="21" t="str">
        <x:v>Драконье сопротивление (холод)</x:v>
      </x:c>
      <x:c r="I137" s="21" t="str">
        <x:v>Драконье наследие: сопротивление урону типа «холод». | Activation: passive | Effects: [{"resolution":"auto","result":[{"damage_type":"cold","kind":"resistance","value":"resistance"}]}]</x:v>
      </x:c>
      <x:c r="J137" s="21" t="str">
        <x:v>verified_mechanical</x:v>
      </x:c>
      <x:c r="K137" s="21" t="str">
        <x:v>Passed</x:v>
      </x:c>
      <x:c r="L137" s="21" t="str">
        <x:v>aeea4d2e-42da-452a-8af8-1f50ab9d3ad4</x:v>
      </x:c>
      <x:c r="M137" s="21" t="str">
        <x:v>PASS — production cfc64ca17d88dc6e15717b9e454c9824ac2b055d. Sheet: ancestry-specific Breath Weapon, damage resistance, Darkvision, uses, save ability, and damage type are present and readable. Combat/runtime: all ten ancestries passed the production-derived matrix; retained Blue Dragonborn combat spent exactly one action and one ability charge, resolved the target save/damage, and now shows “Заряд способности” instead of an internal ID. Retained character ID(s): aeea4d2e-42da-452a-8af8-1f50ab9d3ad4.</x:v>
      </x:c>
    </x:row>
    <x:row r="138" ht="48" customHeight="1">
      <x:c r="A138" s="21" t="str">
        <x:v>Орк</x:v>
      </x:c>
      <x:c r="B138" s="21" t="str">
        <x:v>Base species</x:v>
      </x:c>
      <x:c r="C138" s="21" t="str">
        <x:v>RACE-0007</x:v>
      </x:c>
      <x:c r="D138" s="21" t="str">
        <x:v>RACE-0007</x:v>
      </x:c>
      <x:c r="E138" s="21" t="str">
        <x:v>c8664de4-e485-43e5-9dce-d3022d44781a</x:v>
      </x:c>
      <x:c r="F138" s="21" t="n">
        <x:v>1</x:v>
      </x:c>
      <x:c r="G138" s="21" t="str">
        <x:v>Species chassis</x:v>
      </x:c>
      <x:c r="H138" s="21" t="str">
        <x:v>Орк</x:v>
      </x:c>
      <x:c r="I138" s="21" t="str">
        <x:v>Creature type Гуманоид; size Средний; speed 30; darkvision 120. Давным-давно орков создал Груумш — могущественный бог, бродивший по широким просторам Материального плана. Он снабдил своих детей дарами, помогающими странствовать по великим равнинам, пещерам и морям, и даже когда орки клянутся в верности другим богам, они хранят дары Груумша: выносливость, решительность и способность видеть в темноте. Обычно орки высокие и широкоплечие, с серой кожей, заострёнными ушами и выступающими нижними клыками; одни мечтают повторить героические деяния предков, другие ищут собственный путь.</x:v>
      </x:c>
      <x:c r="J138" s="21" t="str">
        <x:v>verified_partial</x:v>
      </x:c>
      <x:c r="K138" s="21" t="str">
        <x:v>Passed</x:v>
      </x:c>
      <x:c r="L138" s="21" t="str">
        <x:v>ae8f3549-97a5-4c9d-b1e6-0b169d06d310</x:v>
      </x:c>
      <x:c r="M138"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39" ht="48" customHeight="1">
      <x:c r="A139" s="21" t="str">
        <x:v>Орк</x:v>
      </x:c>
      <x:c r="B139" s="21" t="str">
        <x:v>Base species</x:v>
      </x:c>
      <x:c r="C139" s="21" t="str">
        <x:v>RACE-0007</x:v>
      </x:c>
      <x:c r="D139" s="21" t="str">
        <x:v>RACE-0007</x:v>
      </x:c>
      <x:c r="E139" s="21" t="str">
        <x:v>c8664de4-e485-43e5-9dce-d3022d44781a</x:v>
      </x:c>
      <x:c r="F139" s="21" t="n">
        <x:v>1</x:v>
      </x:c>
      <x:c r="G139" s="21" t="str">
        <x:v>Trait</x:v>
      </x:c>
      <x:c r="H139" s="21" t="str">
        <x:v>Тёмное зрение</x:v>
      </x:c>
      <x:c r="I139" s="21" t="str">
        <x:v>Тёмное зрение 120 футов.</x:v>
      </x:c>
      <x:c r="J139" s="21" t="str">
        <x:v>verified_partial</x:v>
      </x:c>
      <x:c r="K139" s="21" t="str">
        <x:v>Passed</x:v>
      </x:c>
      <x:c r="L139" s="21" t="str">
        <x:v>ae8f3549-97a5-4c9d-b1e6-0b169d06d310</x:v>
      </x:c>
      <x:c r="M13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0" ht="48" customHeight="1">
      <x:c r="A140" s="21" t="str">
        <x:v>Орк</x:v>
      </x:c>
      <x:c r="B140" s="21" t="str">
        <x:v>Base species</x:v>
      </x:c>
      <x:c r="C140" s="21" t="str">
        <x:v>RACE-0007</x:v>
      </x:c>
      <x:c r="D140" s="21" t="str">
        <x:v>RACE-0007</x:v>
      </x:c>
      <x:c r="E140" s="21" t="str">
        <x:v>c8664de4-e485-43e5-9dce-d3022d44781a</x:v>
      </x:c>
      <x:c r="F140" s="21" t="n">
        <x:v>1</x:v>
      </x:c>
      <x:c r="G140" s="21" t="str">
        <x:v>Trait</x:v>
      </x:c>
      <x:c r="H140" s="21" t="str">
        <x:v>Адреналиновый рывок</x:v>
      </x:c>
      <x:c r="I140" s="21" t="str">
        <x:v>Бонусным действием вы совершаете Рывок и получаете временные хиты, равные вашему Бонусу мастерства.</x:v>
      </x:c>
      <x:c r="J140" s="21" t="str">
        <x:v>verified_partial</x:v>
      </x:c>
      <x:c r="K140" s="21" t="str">
        <x:v>Passed</x:v>
      </x:c>
      <x:c r="L140" s="21" t="str">
        <x:v>ae8f3549-97a5-4c9d-b1e6-0b169d06d310</x:v>
      </x:c>
      <x:c r="M140"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1" ht="48" customHeight="1">
      <x:c r="A141" s="21" t="str">
        <x:v>Орк</x:v>
      </x:c>
      <x:c r="B141" s="21" t="str">
        <x:v>Base species</x:v>
      </x:c>
      <x:c r="C141" s="21" t="str">
        <x:v>RACE-0007</x:v>
      </x:c>
      <x:c r="D141" s="21" t="str">
        <x:v>RACE-0007</x:v>
      </x:c>
      <x:c r="E141" s="21" t="str">
        <x:v>c8664de4-e485-43e5-9dce-d3022d44781a</x:v>
      </x:c>
      <x:c r="F141" s="21" t="n">
        <x:v>1</x:v>
      </x:c>
      <x:c r="G141" s="21" t="str">
        <x:v>Trait</x:v>
      </x:c>
      <x:c r="H141" s="21" t="str">
        <x:v>Неумолимая стойкость</x:v>
      </x:c>
      <x:c r="I141" s="21" t="str">
        <x:v>Когда вы опускаетесь до 0 хитов, но не убиты мгновенно, вы можете опуститься до 1 хита вместо этого.</x:v>
      </x:c>
      <x:c r="J141" s="21" t="str">
        <x:v>verified_partial</x:v>
      </x:c>
      <x:c r="K141" s="21" t="str">
        <x:v>Passed</x:v>
      </x:c>
      <x:c r="L141" s="21" t="str">
        <x:v>ae8f3549-97a5-4c9d-b1e6-0b169d06d310</x:v>
      </x:c>
      <x:c r="M141"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2" ht="48" customHeight="1">
      <x:c r="A142" s="21" t="str">
        <x:v>Орк</x:v>
      </x:c>
      <x:c r="B142" s="21" t="str">
        <x:v>Base species</x:v>
      </x:c>
      <x:c r="C142" s="21" t="str">
        <x:v>RACE-0007</x:v>
      </x:c>
      <x:c r="D142" s="21" t="str">
        <x:v>RACE-0007</x:v>
      </x:c>
      <x:c r="E142" s="21" t="str">
        <x:v>c8664de4-e485-43e5-9dce-d3022d44781a</x:v>
      </x:c>
      <x:c r="F142" s="21" t="n">
        <x:v>1</x:v>
      </x:c>
      <x:c r="G142" s="21" t="str">
        <x:v>Effect</x:v>
      </x:c>
      <x:c r="H142" s="21" t="str">
        <x:v>Адреналиновый рывок</x:v>
      </x:c>
      <x:c r="I142" s="21" t="str">
        <x:v>Бонусным действием вы совершаете Рывок и получаете временные хиты, равные вашему Бонусу мастерства. | Activation: active; cost bonus_action, self_uses | Effects: [{"resolution":"auto","result":[{"amount":"prof_bonus","kind":"temp_hp"},{"applies_to":{"roll":"speed"},"duration":{"type":"until_start_of_next_turn"},"kind":"modifier","op":"add","value":"character_speed"},{"description":"Бонусным действием вы совершаете Рывок (скорость увеличена на её текущее значение до начала вашего следующего хода) и получаете временные хиты, равные бонусу мастерства.","kind":"narrative"}]}]</x:v>
      </x:c>
      <x:c r="J142" s="21" t="str">
        <x:v>verified_mechanical</x:v>
      </x:c>
      <x:c r="K142" s="21" t="str">
        <x:v>Passed</x:v>
      </x:c>
      <x:c r="L142" s="21" t="str">
        <x:v>ae8f3549-97a5-4c9d-b1e6-0b169d06d310</x:v>
      </x:c>
      <x:c r="M142"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3" ht="48" customHeight="1">
      <x:c r="A143" s="21" t="str">
        <x:v>Орк</x:v>
      </x:c>
      <x:c r="B143" s="21" t="str">
        <x:v>Base species</x:v>
      </x:c>
      <x:c r="C143" s="21" t="str">
        <x:v>RACE-0007</x:v>
      </x:c>
      <x:c r="D143" s="21" t="str">
        <x:v>RACE-0007</x:v>
      </x:c>
      <x:c r="E143" s="21" t="str">
        <x:v>c8664de4-e485-43e5-9dce-d3022d44781a</x:v>
      </x:c>
      <x:c r="F143" s="21" t="n">
        <x:v>1</x:v>
      </x:c>
      <x:c r="G143" s="21" t="str">
        <x:v>Effect</x:v>
      </x:c>
      <x:c r="H143" s="21" t="str">
        <x:v>Неумолимая стойкость</x:v>
      </x:c>
      <x:c r="I143" s="21" t="str">
        <x:v>Когда вы опускаетесь до 0 хитов, но не убиты мгновенно, вы можете опуститься до 1 хита вместо этого. | Activation: triggered | Trigger: {"event":"reduced_to_0_hp","timing":"replaces"} | Effects: [{"resolution":"auto","result":[{"formula":"1","kind":"set_value","target":"hp"}]}]</x:v>
      </x:c>
      <x:c r="J143" s="21" t="str">
        <x:v>verified_mechanical</x:v>
      </x:c>
      <x:c r="K143" s="21" t="str">
        <x:v>Passed</x:v>
      </x:c>
      <x:c r="L143" s="21" t="str">
        <x:v>ae8f3549-97a5-4c9d-b1e6-0b169d06d310</x:v>
      </x:c>
      <x:c r="M143"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4" ht="48" customHeight="1">
      <x:c r="A144" s="21" t="str">
        <x:v>Орк</x:v>
      </x:c>
      <x:c r="B144" s="21" t="str">
        <x:v>Base species</x:v>
      </x:c>
      <x:c r="C144" s="21" t="str">
        <x:v>RACE-0007</x:v>
      </x:c>
      <x:c r="D144" s="21" t="str">
        <x:v>RACE-0007</x:v>
      </x:c>
      <x:c r="E144" s="21" t="str">
        <x:v>c8664de4-e485-43e5-9dce-d3022d44781a</x:v>
      </x:c>
      <x:c r="F144" s="21" t="n">
        <x:v>1</x:v>
      </x:c>
      <x:c r="G144" s="21" t="str">
        <x:v>Effect</x:v>
      </x:c>
      <x:c r="H144" s="21" t="str">
        <x:v>Тёмное зрение</x:v>
      </x:c>
      <x:c r="I144" s="21" t="str">
        <x:v>На расстоянии в 120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[{"resolution":"auto","result":[{"kind":"grant_sense","range":120,"sense":"darkvision"}]}]</x:v>
      </x:c>
      <x:c r="J144" s="21" t="str">
        <x:v>verified_partial</x:v>
      </x:c>
      <x:c r="K144" s="21" t="str">
        <x:v>Passed</x:v>
      </x:c>
      <x:c r="L144" s="21" t="str">
        <x:v>ae8f3549-97a5-4c9d-b1e6-0b169d06d310</x:v>
      </x:c>
      <x:c r="M144"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ae8f3549-97a5-4c9d-b1e6-0b169d06d310.</x:v>
      </x:c>
    </x:row>
    <x:row r="145" ht="48" customHeight="1">
      <x:c r="A145" s="21" t="str">
        <x:v>Полурослик</x:v>
      </x:c>
      <x:c r="B145" s="21" t="str">
        <x:v>Base species</x:v>
      </x:c>
      <x:c r="C145" s="21" t="str">
        <x:v>RACE-0006</x:v>
      </x:c>
      <x:c r="D145" s="21" t="str">
        <x:v>RACE-0006</x:v>
      </x:c>
      <x:c r="E145" s="21" t="str">
        <x:v>6f19d163-7382-49a1-ac97-b75fb9067daa</x:v>
      </x:c>
      <x:c r="F145" s="21" t="n">
        <x:v>1</x:v>
      </x:c>
      <x:c r="G145" s="21" t="str">
        <x:v>Species chassis</x:v>
      </x:c>
      <x:c r="H145" s="21" t="str">
        <x:v>Полурослик</x:v>
      </x:c>
      <x:c r="I145" s="21" t="str">
        <x:v>Creature type Гуманоид; size Маленький; speed 30; darkvision —. Обласканные богами жизни, дома и уюта, полурослики предпочитают мирную сельскую жизнь в кругу семьи и общины, но многие обладают храбрым и предприимчивым духом, который ведёт их в полные открытий путешествия. Ростом не больше человеческого ребёнка, они легко проходят сквозь толпу и проскальзывают в труднодоступные места. Всякий, кто хорошо знаком с полуросликами, наверняка видел в действии их легендарную удачу: когда полурослику грозит смертельная опасность, незримые силы будто встают на его защиту. Живут полурослики около 150 лет.</x:v>
      </x:c>
      <x:c r="J145" s="21" t="str">
        <x:v>verified_partial</x:v>
      </x:c>
      <x:c r="K145" s="21" t="str">
        <x:v>Passed</x:v>
      </x:c>
      <x:c r="L145" s="21" t="str">
        <x:v>d4d84f12-56f6-4546-b60e-eae58888791a</x:v>
      </x:c>
      <x:c r="M14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46" ht="48" customHeight="1">
      <x:c r="A146" s="21" t="str">
        <x:v>Полурослик</x:v>
      </x:c>
      <x:c r="B146" s="21" t="str">
        <x:v>Base species</x:v>
      </x:c>
      <x:c r="C146" s="21" t="str">
        <x:v>RACE-0006</x:v>
      </x:c>
      <x:c r="D146" s="21" t="str">
        <x:v>RACE-0006</x:v>
      </x:c>
      <x:c r="E146" s="21" t="str">
        <x:v>6f19d163-7382-49a1-ac97-b75fb9067daa</x:v>
      </x:c>
      <x:c r="F146" s="21" t="n">
        <x:v>1</x:v>
      </x:c>
      <x:c r="G146" s="21" t="str">
        <x:v>Trait</x:v>
      </x:c>
      <x:c r="H146" s="21" t="str">
        <x:v>Храбрость</x:v>
      </x:c>
      <x:c r="I146" s="21" t="str">
        <x:v>Преимущество на спасброски, чтобы избежать состояния Испуган или прекратить его.</x:v>
      </x:c>
      <x:c r="J146" s="21" t="str">
        <x:v>verified_partial</x:v>
      </x:c>
      <x:c r="K146" s="21" t="str">
        <x:v>Passed</x:v>
      </x:c>
      <x:c r="L146" s="21" t="str">
        <x:v>d4d84f12-56f6-4546-b60e-eae58888791a</x:v>
      </x:c>
      <x:c r="M146"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47" ht="48" customHeight="1">
      <x:c r="A147" s="21" t="str">
        <x:v>Полурослик</x:v>
      </x:c>
      <x:c r="B147" s="21" t="str">
        <x:v>Base species</x:v>
      </x:c>
      <x:c r="C147" s="21" t="str">
        <x:v>RACE-0006</x:v>
      </x:c>
      <x:c r="D147" s="21" t="str">
        <x:v>RACE-0006</x:v>
      </x:c>
      <x:c r="E147" s="21" t="str">
        <x:v>6f19d163-7382-49a1-ac97-b75fb9067daa</x:v>
      </x:c>
      <x:c r="F147" s="21" t="n">
        <x:v>1</x:v>
      </x:c>
      <x:c r="G147" s="21" t="str">
        <x:v>Trait</x:v>
      </x:c>
      <x:c r="H147" s="21" t="str">
        <x:v>Проворство полуросликов</x:v>
      </x:c>
      <x:c r="I147" s="21" t="str">
        <x:v>Вы можете проходить через пространство существа, чей размер больше вашего.</x:v>
      </x:c>
      <x:c r="J147" s="21" t="str">
        <x:v>verified_partial</x:v>
      </x:c>
      <x:c r="K147" s="21" t="str">
        <x:v>Passed</x:v>
      </x:c>
      <x:c r="L147" s="21" t="str">
        <x:v>d4d84f12-56f6-4546-b60e-eae58888791a</x:v>
      </x:c>
      <x:c r="M147"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48" ht="48" customHeight="1">
      <x:c r="A148" s="21" t="str">
        <x:v>Полурослик</x:v>
      </x:c>
      <x:c r="B148" s="21" t="str">
        <x:v>Base species</x:v>
      </x:c>
      <x:c r="C148" s="21" t="str">
        <x:v>RACE-0006</x:v>
      </x:c>
      <x:c r="D148" s="21" t="str">
        <x:v>RACE-0006</x:v>
      </x:c>
      <x:c r="E148" s="21" t="str">
        <x:v>6f19d163-7382-49a1-ac97-b75fb9067daa</x:v>
      </x:c>
      <x:c r="F148" s="21" t="n">
        <x:v>1</x:v>
      </x:c>
      <x:c r="G148" s="21" t="str">
        <x:v>Trait</x:v>
      </x:c>
      <x:c r="H148" s="21" t="str">
        <x:v>Везение</x:v>
      </x:c>
      <x:c r="I148" s="21" t="str">
        <x:v>Когда на к20 для броска атаки, проверки или спасброска выпадает 1, можно перебросить кубик; используйте новый результат.</x:v>
      </x:c>
      <x:c r="J148" s="21" t="str">
        <x:v>verified_partial</x:v>
      </x:c>
      <x:c r="K148" s="21" t="str">
        <x:v>Passed</x:v>
      </x:c>
      <x:c r="L148" s="21" t="str">
        <x:v>d4d84f12-56f6-4546-b60e-eae58888791a</x:v>
      </x:c>
      <x:c r="M148"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49" ht="48" customHeight="1">
      <x:c r="A149" s="21" t="str">
        <x:v>Полурослик</x:v>
      </x:c>
      <x:c r="B149" s="21" t="str">
        <x:v>Base species</x:v>
      </x:c>
      <x:c r="C149" s="21" t="str">
        <x:v>RACE-0006</x:v>
      </x:c>
      <x:c r="D149" s="21" t="str">
        <x:v>RACE-0006</x:v>
      </x:c>
      <x:c r="E149" s="21" t="str">
        <x:v>6f19d163-7382-49a1-ac97-b75fb9067daa</x:v>
      </x:c>
      <x:c r="F149" s="21" t="n">
        <x:v>1</x:v>
      </x:c>
      <x:c r="G149" s="21" t="str">
        <x:v>Trait</x:v>
      </x:c>
      <x:c r="H149" s="21" t="str">
        <x:v>Природная скрытность</x:v>
      </x:c>
      <x:c r="I149" s="21" t="str">
        <x:v>Вы можете Прятаться, даже если вас лишь незначительно заслоняет существо как минимум на размер больше вас.</x:v>
      </x:c>
      <x:c r="J149" s="21" t="str">
        <x:v>verified_partial</x:v>
      </x:c>
      <x:c r="K149" s="21" t="str">
        <x:v>Passed</x:v>
      </x:c>
      <x:c r="L149" s="21" t="str">
        <x:v>d4d84f12-56f6-4546-b60e-eae58888791a</x:v>
      </x:c>
      <x:c r="M14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50" ht="48" customHeight="1">
      <x:c r="A150" s="21" t="str">
        <x:v>Полурослик</x:v>
      </x:c>
      <x:c r="B150" s="21" t="str">
        <x:v>Base species</x:v>
      </x:c>
      <x:c r="C150" s="21" t="str">
        <x:v>RACE-0006</x:v>
      </x:c>
      <x:c r="D150" s="21" t="str">
        <x:v>RACE-0006</x:v>
      </x:c>
      <x:c r="E150" s="21" t="str">
        <x:v>6f19d163-7382-49a1-ac97-b75fb9067daa</x:v>
      </x:c>
      <x:c r="F150" s="21" t="n">
        <x:v>1</x:v>
      </x:c>
      <x:c r="G150" s="21" t="str">
        <x:v>Effect</x:v>
      </x:c>
      <x:c r="H150" s="21" t="str">
        <x:v>Храбрость</x:v>
      </x:c>
      <x:c r="I150" s="21" t="str">
        <x:v>Преимущество на спасброски, чтобы избежать состояния Испуган или прекратить его. | Activation: passive | Effects: [{"resolution":"auto","result":[{"applies_to":{"roll":"saving_throw"},"kind":"modifier","op":"advantage","when":[{"kind":"save_avoids_condition","value":"frightened"}]}]}]</x:v>
      </x:c>
      <x:c r="J150" s="21" t="str">
        <x:v>verified_mechanical</x:v>
      </x:c>
      <x:c r="K150" s="21" t="str">
        <x:v>Passed</x:v>
      </x:c>
      <x:c r="L150" s="21" t="str">
        <x:v>d4d84f12-56f6-4546-b60e-eae58888791a</x:v>
      </x:c>
      <x:c r="M150"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51" ht="48" customHeight="1">
      <x:c r="A151" s="21" t="str">
        <x:v>Полурослик</x:v>
      </x:c>
      <x:c r="B151" s="21" t="str">
        <x:v>Base species</x:v>
      </x:c>
      <x:c r="C151" s="21" t="str">
        <x:v>RACE-0006</x:v>
      </x:c>
      <x:c r="D151" s="21" t="str">
        <x:v>RACE-0006</x:v>
      </x:c>
      <x:c r="E151" s="21" t="str">
        <x:v>6f19d163-7382-49a1-ac97-b75fb9067daa</x:v>
      </x:c>
      <x:c r="F151" s="21" t="n">
        <x:v>1</x:v>
      </x:c>
      <x:c r="G151" s="21" t="str">
        <x:v>Effect</x:v>
      </x:c>
      <x:c r="H151" s="21" t="str">
        <x:v>Проворство полуросликов</x:v>
      </x:c>
      <x:c r="I151" s="21" t="str">
        <x:v>Вы можете проходить через пространство существа, чей размер больше вашего. | Activation: passive | Effects: [{"resolution":"auto","result":[{"description":"Проходите сквозь пространство существ большего размера.","kind":"narrative"}]}]</x:v>
      </x:c>
      <x:c r="J151" s="21" t="str">
        <x:v>verified_partial</x:v>
      </x:c>
      <x:c r="K151" s="21" t="str">
        <x:v>Passed</x:v>
      </x:c>
      <x:c r="L151" s="21" t="str">
        <x:v>d4d84f12-56f6-4546-b60e-eae58888791a</x:v>
      </x:c>
      <x:c r="M151"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52" ht="48" customHeight="1">
      <x:c r="A152" s="21" t="str">
        <x:v>Полурослик</x:v>
      </x:c>
      <x:c r="B152" s="21" t="str">
        <x:v>Base species</x:v>
      </x:c>
      <x:c r="C152" s="21" t="str">
        <x:v>RACE-0006</x:v>
      </x:c>
      <x:c r="D152" s="21" t="str">
        <x:v>RACE-0006</x:v>
      </x:c>
      <x:c r="E152" s="21" t="str">
        <x:v>6f19d163-7382-49a1-ac97-b75fb9067daa</x:v>
      </x:c>
      <x:c r="F152" s="21" t="n">
        <x:v>1</x:v>
      </x:c>
      <x:c r="G152" s="21" t="str">
        <x:v>Effect</x:v>
      </x:c>
      <x:c r="H152" s="21" t="str">
        <x:v>Везение</x:v>
      </x:c>
      <x:c r="I152" s="21" t="str">
        <x:v>Когда на к20 для броска атаки, проверки характеристики или спасброска выпадает 1, вы перебрасываете кубик и обязаны использовать новый результат. | Activation: passive | Effects: [{"resolution":"auto","result":[{"applies_to":{"roll":"d20"},"kind":"modifier","natural":{"max":1},"op":"reroll"}]}]</x:v>
      </x:c>
      <x:c r="J152" s="21" t="str">
        <x:v>verified_mechanical</x:v>
      </x:c>
      <x:c r="K152" s="21" t="str">
        <x:v>Passed</x:v>
      </x:c>
      <x:c r="L152" s="21" t="str">
        <x:v>d4d84f12-56f6-4546-b60e-eae58888791a</x:v>
      </x:c>
      <x:c r="M152"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53" ht="48" customHeight="1">
      <x:c r="A153" s="21" t="str">
        <x:v>Полурослик</x:v>
      </x:c>
      <x:c r="B153" s="21" t="str">
        <x:v>Base species</x:v>
      </x:c>
      <x:c r="C153" s="21" t="str">
        <x:v>RACE-0006</x:v>
      </x:c>
      <x:c r="D153" s="21" t="str">
        <x:v>RACE-0006</x:v>
      </x:c>
      <x:c r="E153" s="21" t="str">
        <x:v>6f19d163-7382-49a1-ac97-b75fb9067daa</x:v>
      </x:c>
      <x:c r="F153" s="21" t="n">
        <x:v>1</x:v>
      </x:c>
      <x:c r="G153" s="21" t="str">
        <x:v>Effect</x:v>
      </x:c>
      <x:c r="H153" s="21" t="str">
        <x:v>Природная скрытность</x:v>
      </x:c>
      <x:c r="I153" s="21" t="str">
        <x:v>Вы можете Прятаться, даже если вас лишь незначительно заслоняет существо как минимум на размер больше вас. | Activation: passive | Effects: [{"resolution":"auto","result":[{"description":"Можно Прятаться за существом большего размера.","kind":"narrative"}]}]</x:v>
      </x:c>
      <x:c r="J153" s="21" t="str">
        <x:v>verified_mechanical</x:v>
      </x:c>
      <x:c r="K153" s="21" t="str">
        <x:v>Passed</x:v>
      </x:c>
      <x:c r="L153" s="21" t="str">
        <x:v>d4d84f12-56f6-4546-b60e-eae58888791a</x:v>
      </x:c>
      <x:c r="M153"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d4d84f12-56f6-4546-b60e-eae58888791a.</x:v>
      </x:c>
    </x:row>
    <x:row r="154" ht="48" customHeight="1">
      <x:c r="A154" s="21" t="str">
        <x:v>Тифлинг</x:v>
      </x:c>
      <x:c r="B154" s="21" t="str">
        <x:v>Base species</x:v>
      </x:c>
      <x:c r="C154" s="21" t="str">
        <x:v>RACE-0009</x:v>
      </x:c>
      <x:c r="D154" s="21" t="str">
        <x:v>RACE-0009</x:v>
      </x:c>
      <x:c r="E154" s="21" t="str">
        <x:v>fac3f998-75c3-4fe3-9ff0-8adbe1e1e3fa</x:v>
      </x:c>
      <x:c r="F154" s="21" t="n">
        <x:v>1</x:v>
      </x:c>
      <x:c r="G154" s="21" t="str">
        <x:v>Species chassis</x:v>
      </x:c>
      <x:c r="H154" s="21" t="str">
        <x:v>Тифлинг</x:v>
      </x:c>
      <x:c r="I154" s="21" t="str">
        <x:v>Creature type Гуманоид; size Средний или Маленький; speed 30; darkvision 60. Тифлинги либо рождаются на Нижних Планах, либо ведут своё происхождение от живущих там исчадий: каждый связан кровными узами с дьяволом, демоном или иным исчадием. Эта связь с Нижними Планами — часть наследия тифлинга, которое сулит могущество, но не влияет на его моральный компас. Каждый тифлинг сам выбирает — принять свою сущность или оплакивать своё наследие.</x:v>
      </x:c>
      <x:c r="J154" s="21" t="str">
        <x:v>verified_partial</x:v>
      </x:c>
      <x:c r="K154" s="21" t="str">
        <x:v>Passed</x:v>
      </x:c>
      <x:c r="L154" s="21" t="str">
        <x:v>4c9ae5e8-675e-4f1c-be09-29ad0f838683, b8c59efb-c962-4737-b846-6143a94afb1b, c14280ef-9a76-44f7-9982-4c4f8f6597d0</x:v>
      </x:c>
      <x:c r="M154"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55" ht="48" customHeight="1">
      <x:c r="A155" s="21" t="str">
        <x:v>Тифлинг</x:v>
      </x:c>
      <x:c r="B155" s="21" t="str">
        <x:v>Base species</x:v>
      </x:c>
      <x:c r="C155" s="21" t="str">
        <x:v>RACE-0009</x:v>
      </x:c>
      <x:c r="D155" s="21" t="str">
        <x:v>RACE-0009</x:v>
      </x:c>
      <x:c r="E155" s="21" t="str">
        <x:v>fac3f998-75c3-4fe3-9ff0-8adbe1e1e3fa</x:v>
      </x:c>
      <x:c r="F155" s="21" t="n">
        <x:v>1</x:v>
      </x:c>
      <x:c r="G155" s="21" t="str">
        <x:v>Trait</x:v>
      </x:c>
      <x:c r="H155" s="21" t="str">
        <x:v>Тёмное зрение</x:v>
      </x:c>
      <x:c r="I155" s="21" t="str">
        <x:v>Тёмное зрение 60 футов.</x:v>
      </x:c>
      <x:c r="J155" s="21" t="str">
        <x:v>verified_partial</x:v>
      </x:c>
      <x:c r="K155" s="21" t="str">
        <x:v>Passed</x:v>
      </x:c>
      <x:c r="L155" s="21" t="str">
        <x:v>4c9ae5e8-675e-4f1c-be09-29ad0f838683, b8c59efb-c962-4737-b846-6143a94afb1b, c14280ef-9a76-44f7-9982-4c4f8f6597d0</x:v>
      </x:c>
      <x:c r="M15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56" ht="48" customHeight="1">
      <x:c r="A156" s="21" t="str">
        <x:v>Тифлинг</x:v>
      </x:c>
      <x:c r="B156" s="21" t="str">
        <x:v>Base species</x:v>
      </x:c>
      <x:c r="C156" s="21" t="str">
        <x:v>RACE-0009</x:v>
      </x:c>
      <x:c r="D156" s="21" t="str">
        <x:v>RACE-0009</x:v>
      </x:c>
      <x:c r="E156" s="21" t="str">
        <x:v>fac3f998-75c3-4fe3-9ff0-8adbe1e1e3fa</x:v>
      </x:c>
      <x:c r="F156" s="21" t="n">
        <x:v>1</x:v>
      </x:c>
      <x:c r="G156" s="21" t="str">
        <x:v>Trait</x:v>
      </x:c>
      <x:c r="H156" s="21" t="str">
        <x:v>Потустороннее присутствие</x:v>
      </x:c>
      <x:c r="I156" s="21" t="str">
        <x:v>Вы знаете заговор Чудотворство.</x:v>
      </x:c>
      <x:c r="J156" s="21" t="str">
        <x:v>verified_partial</x:v>
      </x:c>
      <x:c r="K156" s="21" t="str">
        <x:v>Passed</x:v>
      </x:c>
      <x:c r="L156" s="21" t="str">
        <x:v>4c9ae5e8-675e-4f1c-be09-29ad0f838683, b8c59efb-c962-4737-b846-6143a94afb1b, c14280ef-9a76-44f7-9982-4c4f8f6597d0</x:v>
      </x:c>
      <x:c r="M156"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57" ht="48" customHeight="1">
      <x:c r="A157" s="21" t="str">
        <x:v>Тифлинг</x:v>
      </x:c>
      <x:c r="B157" s="21" t="str">
        <x:v>Base species</x:v>
      </x:c>
      <x:c r="C157" s="21" t="str">
        <x:v>RACE-0009</x:v>
      </x:c>
      <x:c r="D157" s="21" t="str">
        <x:v>RACE-0009</x:v>
      </x:c>
      <x:c r="E157" s="21" t="str">
        <x:v>fac3f998-75c3-4fe3-9ff0-8adbe1e1e3fa</x:v>
      </x:c>
      <x:c r="F157" s="21" t="n">
        <x:v>1</x:v>
      </x:c>
      <x:c r="G157" s="21" t="str">
        <x:v>Trait</x:v>
      </x:c>
      <x:c r="H157" s="21" t="str">
        <x:v>Дьявольское наследие</x:v>
      </x:c>
      <x:c r="I157" s="21" t="str">
        <x:v>Выберите наследие: Бездны, Хтоническое или Преисподней.</x:v>
      </x:c>
      <x:c r="J157" s="21" t="str">
        <x:v>verified_partial</x:v>
      </x:c>
      <x:c r="K157" s="21" t="str">
        <x:v>Passed</x:v>
      </x:c>
      <x:c r="L157" s="21" t="str">
        <x:v>4c9ae5e8-675e-4f1c-be09-29ad0f838683, b8c59efb-c962-4737-b846-6143a94afb1b, c14280ef-9a76-44f7-9982-4c4f8f6597d0</x:v>
      </x:c>
      <x:c r="M157"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58" ht="48" customHeight="1">
      <x:c r="A158" s="21" t="str">
        <x:v>Тифлинг</x:v>
      </x:c>
      <x:c r="B158" s="21" t="str">
        <x:v>Base species</x:v>
      </x:c>
      <x:c r="C158" s="21" t="str">
        <x:v>RACE-0009</x:v>
      </x:c>
      <x:c r="D158" s="21" t="str">
        <x:v>RACE-0009</x:v>
      </x:c>
      <x:c r="E158" s="21" t="str">
        <x:v>fac3f998-75c3-4fe3-9ff0-8adbe1e1e3fa</x:v>
      </x:c>
      <x:c r="F158" s="21" t="n">
        <x:v>1</x:v>
      </x:c>
      <x:c r="G158" s="21" t="str">
        <x:v>Lineage option</x:v>
      </x:c>
      <x:c r="H158" s="21" t="str">
        <x:v>Бездны</x:v>
      </x:c>
      <x:c r="I158" s="21" t="str">
        <x:v>resistance</x:v>
      </x:c>
      <x:c r="J158" s="21" t="str">
        <x:v>verified_partial</x:v>
      </x:c>
      <x:c r="K158" s="21" t="str">
        <x:v>Passed</x:v>
      </x:c>
      <x:c r="L158" s="21" t="str">
        <x:v>4c9ae5e8-675e-4f1c-be09-29ad0f838683, b8c59efb-c962-4737-b846-6143a94afb1b, c14280ef-9a76-44f7-9982-4c4f8f6597d0</x:v>
      </x:c>
      <x:c r="M158"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59" ht="48" customHeight="1">
      <x:c r="A159" s="21" t="str">
        <x:v>Тифлинг</x:v>
      </x:c>
      <x:c r="B159" s="21" t="str">
        <x:v>Base species</x:v>
      </x:c>
      <x:c r="C159" s="21" t="str">
        <x:v>RACE-0009</x:v>
      </x:c>
      <x:c r="D159" s="21" t="str">
        <x:v>RACE-0009</x:v>
      </x:c>
      <x:c r="E159" s="21" t="str">
        <x:v>fac3f998-75c3-4fe3-9ff0-8adbe1e1e3fa</x:v>
      </x:c>
      <x:c r="F159" s="21" t="n">
        <x:v>1</x:v>
      </x:c>
      <x:c r="G159" s="21" t="str">
        <x:v>Lineage option</x:v>
      </x:c>
      <x:c r="H159" s="21" t="str">
        <x:v>Хтоническое</x:v>
      </x:c>
      <x:c r="I159" s="21" t="str">
        <x:v>resistance</x:v>
      </x:c>
      <x:c r="J159" s="21" t="str">
        <x:v>verified_partial</x:v>
      </x:c>
      <x:c r="K159" s="21" t="str">
        <x:v>Passed</x:v>
      </x:c>
      <x:c r="L159" s="21" t="str">
        <x:v>4c9ae5e8-675e-4f1c-be09-29ad0f838683, b8c59efb-c962-4737-b846-6143a94afb1b, c14280ef-9a76-44f7-9982-4c4f8f6597d0</x:v>
      </x:c>
      <x:c r="M15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60" ht="48" customHeight="1">
      <x:c r="A160" s="21" t="str">
        <x:v>Тифлинг</x:v>
      </x:c>
      <x:c r="B160" s="21" t="str">
        <x:v>Base species</x:v>
      </x:c>
      <x:c r="C160" s="21" t="str">
        <x:v>RACE-0009</x:v>
      </x:c>
      <x:c r="D160" s="21" t="str">
        <x:v>RACE-0009</x:v>
      </x:c>
      <x:c r="E160" s="21" t="str">
        <x:v>fac3f998-75c3-4fe3-9ff0-8adbe1e1e3fa</x:v>
      </x:c>
      <x:c r="F160" s="21" t="n">
        <x:v>1</x:v>
      </x:c>
      <x:c r="G160" s="21" t="str">
        <x:v>Lineage option</x:v>
      </x:c>
      <x:c r="H160" s="21" t="str">
        <x:v>Преисподней</x:v>
      </x:c>
      <x:c r="I160" s="21" t="str">
        <x:v>resistance</x:v>
      </x:c>
      <x:c r="J160" s="21" t="str">
        <x:v>verified_partial</x:v>
      </x:c>
      <x:c r="K160" s="21" t="str">
        <x:v>Passed</x:v>
      </x:c>
      <x:c r="L160" s="21" t="str">
        <x:v>4c9ae5e8-675e-4f1c-be09-29ad0f838683, b8c59efb-c962-4737-b846-6143a94afb1b, c14280ef-9a76-44f7-9982-4c4f8f6597d0</x:v>
      </x:c>
      <x:c r="M160"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61" ht="48" customHeight="1">
      <x:c r="A161" s="21" t="str">
        <x:v>Тифлинг</x:v>
      </x:c>
      <x:c r="B161" s="21" t="str">
        <x:v>Base species</x:v>
      </x:c>
      <x:c r="C161" s="21" t="str">
        <x:v>RACE-0009</x:v>
      </x:c>
      <x:c r="D161" s="21" t="str">
        <x:v>RACE-0009</x:v>
      </x:c>
      <x:c r="E161" s="21" t="str">
        <x:v>fac3f998-75c3-4fe3-9ff0-8adbe1e1e3fa</x:v>
      </x:c>
      <x:c r="F161" s="21" t="n">
        <x:v>1</x:v>
      </x:c>
      <x:c r="G161" s="21" t="str">
        <x:v>Effect</x:v>
      </x:c>
      <x:c r="H161" s="21" t="str">
        <x:v>Потустороннее присутствие</x:v>
      </x:c>
      <x:c r="I161" s="21" t="str">
        <x:v>Вы знаете заговор Чудотворство. | Activation: passive | Effects: [{"resolution":"auto","result":[{"ability":"cha","kind":"grant_spell","level_gate":1,"value":"thaumaturgy"}]}]</x:v>
      </x:c>
      <x:c r="J161" s="21" t="str">
        <x:v>verified_mechanical</x:v>
      </x:c>
      <x:c r="K161" s="21" t="str">
        <x:v>Passed</x:v>
      </x:c>
      <x:c r="L161" s="21" t="str">
        <x:v>4c9ae5e8-675e-4f1c-be09-29ad0f838683, b8c59efb-c962-4737-b846-6143a94afb1b, c14280ef-9a76-44f7-9982-4c4f8f6597d0</x:v>
      </x:c>
      <x:c r="M161"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62" ht="48" customHeight="1">
      <x:c r="A162" s="21" t="str">
        <x:v>Тифлинг</x:v>
      </x:c>
      <x:c r="B162" s="21" t="str">
        <x:v>Base species</x:v>
      </x:c>
      <x:c r="C162" s="21" t="str">
        <x:v>RACE-0009</x:v>
      </x:c>
      <x:c r="D162" s="21" t="str">
        <x:v>RACE-0009</x:v>
      </x:c>
      <x:c r="E162" s="21" t="str">
        <x:v>fac3f998-75c3-4fe3-9ff0-8adbe1e1e3fa</x:v>
      </x:c>
      <x:c r="F162" s="21" t="n">
        <x:v>1</x:v>
      </x:c>
      <x:c r="G162" s="21" t="str">
        <x:v>Effect</x:v>
      </x:c>
      <x:c r="H162" s="21" t="str">
        <x:v>Дьявольское наследие</x:v>
      </x:c>
      <x:c r="I162" s="21" t="str">
        <x:v>Выберите наследие: Бездны, Хтоническое или Преисподней. | Activation: triggered | Trigger: {"event":"on_acquire","timing":"before"} | Effects: [{"resolution":"auto","result":[]}]</x:v>
      </x:c>
      <x:c r="J162" s="21" t="str">
        <x:v>verified_mechanical</x:v>
      </x:c>
      <x:c r="K162" s="21" t="str">
        <x:v>Passed</x:v>
      </x:c>
      <x:c r="L162" s="21" t="str">
        <x:v>4c9ae5e8-675e-4f1c-be09-29ad0f838683, b8c59efb-c962-4737-b846-6143a94afb1b, c14280ef-9a76-44f7-9982-4c4f8f6597d0</x:v>
      </x:c>
      <x:c r="M162"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63" ht="48" customHeight="1">
      <x:c r="A163" s="21" t="str">
        <x:v>Тифлинг</x:v>
      </x:c>
      <x:c r="B163" s="21" t="str">
        <x:v>Base species</x:v>
      </x:c>
      <x:c r="C163" s="21" t="str">
        <x:v>RACE-0009</x:v>
      </x:c>
      <x:c r="D163" s="21" t="str">
        <x:v>RACE-0009</x:v>
      </x:c>
      <x:c r="E163" s="21" t="str">
        <x:v>fac3f998-75c3-4fe3-9ff0-8adbe1e1e3fa</x:v>
      </x:c>
      <x:c r="F163" s="21" t="n">
        <x:v>1</x:v>
      </x:c>
      <x:c r="G163" s="21" t="str">
        <x:v>Effect</x:v>
      </x:c>
      <x:c r="H163" s="21" t="str">
        <x:v>Тёмное зрение</x:v>
      </x:c>
      <x:c r="I163" s="21" t="str">
        <x:v>На расстоянии в 60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[{"resolution":"auto","result":[{"kind":"grant_sense","range":60,"sense":"darkvision"}]}]</x:v>
      </x:c>
      <x:c r="J163" s="21" t="str">
        <x:v>verified_partial</x:v>
      </x:c>
      <x:c r="K163" s="21" t="str">
        <x:v>Passed</x:v>
      </x:c>
      <x:c r="L163" s="21" t="str">
        <x:v>4c9ae5e8-675e-4f1c-be09-29ad0f838683, b8c59efb-c962-4737-b846-6143a94afb1b, c14280ef-9a76-44f7-9982-4c4f8f6597d0</x:v>
      </x:c>
      <x:c r="M163"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 b8c59efb-c962-4737-b846-6143a94afb1b, c14280ef-9a76-44f7-9982-4c4f8f6597d0.</x:v>
      </x:c>
    </x:row>
    <x:row r="164" ht="48" customHeight="1">
      <x:c r="A164" s="21" t="str">
        <x:v>Тифлинг</x:v>
      </x:c>
      <x:c r="B164" s="21" t="str">
        <x:v>Бездны</x:v>
      </x:c>
      <x:c r="C164" s="21" t="str">
        <x:v>RACE-0009</x:v>
      </x:c>
      <x:c r="D164" s="21" t="str">
        <x:v>sub-abyssal</x:v>
      </x:c>
      <x:c r="E164" s="21" t="str">
        <x:v>1e194bbc-d321-4da0-a7f0-f3e72b2ab691</x:v>
      </x:c>
      <x:c r="F164" s="21" t="n">
        <x:v>1</x:v>
      </x:c>
      <x:c r="G164" s="21" t="str">
        <x:v>Species chassis</x:v>
      </x:c>
      <x:c r="H164" s="21" t="str">
        <x:v>Бездны</x:v>
      </x:c>
      <x:c r="I164" s="21" t="str">
        <x:v>Creature type —; size ; speed —; darkvision —. *Энтропия Бездны, хаос Пандемониума и отчаяние Карцери отзываются в тифлингах с наследием Бездны. Рожки, мех, клыки и специфические запахи - типичные физические черты таких тифлингов; в жилах большинства из них течёт кровь демонов.*</x:v>
      </x:c>
      <x:c r="J164" s="21" t="str">
        <x:v>verified_partial</x:v>
      </x:c>
      <x:c r="K164" s="21" t="str">
        <x:v>Passed</x:v>
      </x:c>
      <x:c r="L164" s="21" t="str">
        <x:v>4c9ae5e8-675e-4f1c-be09-29ad0f838683</x:v>
      </x:c>
      <x:c r="M164"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v>
      </x:c>
    </x:row>
    <x:row r="165" ht="48" customHeight="1">
      <x:c r="A165" s="21" t="str">
        <x:v>Тифлинг</x:v>
      </x:c>
      <x:c r="B165" s="21" t="str">
        <x:v>Бездны</x:v>
      </x:c>
      <x:c r="C165" s="21" t="str">
        <x:v>RACE-0009</x:v>
      </x:c>
      <x:c r="D165" s="21" t="str">
        <x:v>sub-abyssal</x:v>
      </x:c>
      <x:c r="E165" s="21" t="str">
        <x:v>1e194bbc-d321-4da0-a7f0-f3e72b2ab691</x:v>
      </x:c>
      <x:c r="F165" s="21" t="n">
        <x:v>1</x:v>
      </x:c>
      <x:c r="G165" s="21" t="str">
        <x:v>Trait</x:v>
      </x:c>
      <x:c r="H165" s="21" t="str">
        <x:v>Наследие I</x:v>
      </x:c>
      <x:c r="I165" s="21" t="str">
        <x:v>У вас есть Сопротивление [poison]урону Ядом:poison:[/poison]. Вы также знаете заговор Ядовитые брызги.</x:v>
      </x:c>
      <x:c r="J165" s="21" t="str">
        <x:v>verified_partial</x:v>
      </x:c>
      <x:c r="K165" s="21" t="str">
        <x:v>Passed</x:v>
      </x:c>
      <x:c r="L165" s="21" t="str">
        <x:v>4c9ae5e8-675e-4f1c-be09-29ad0f838683</x:v>
      </x:c>
      <x:c r="M16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v>
      </x:c>
    </x:row>
    <x:row r="166" ht="48" customHeight="1">
      <x:c r="A166" s="21" t="str">
        <x:v>Тифлинг</x:v>
      </x:c>
      <x:c r="B166" s="21" t="str">
        <x:v>Бездны</x:v>
      </x:c>
      <x:c r="C166" s="21" t="str">
        <x:v>RACE-0009</x:v>
      </x:c>
      <x:c r="D166" s="21" t="str">
        <x:v>sub-abyssal</x:v>
      </x:c>
      <x:c r="E166" s="21" t="str">
        <x:v>1e194bbc-d321-4da0-a7f0-f3e72b2ab691</x:v>
      </x:c>
      <x:c r="F166" s="21" t="n">
        <x:v>3</x:v>
      </x:c>
      <x:c r="G166" s="21" t="str">
        <x:v>Trait</x:v>
      </x:c>
      <x:c r="H166" s="21" t="str">
        <x:v>Наследие II</x:v>
      </x:c>
      <x:c r="I166" s="21" t="str">
        <x:v>На 3-ем уровне вы получаете заклинание Луч слабости. Вы можете использовать его один раз до Долгого Отдыха.</x:v>
      </x:c>
      <x:c r="J166" s="21" t="str">
        <x:v>verified_partial</x:v>
      </x:c>
      <x:c r="K166" s="21" t="str">
        <x:v>Not tested</x:v>
      </x:c>
      <x:c r="L166" s="21" t="str"/>
      <x:c r="M166" s="21" t="str"/>
    </x:row>
    <x:row r="167" ht="48" customHeight="1">
      <x:c r="A167" s="21" t="str">
        <x:v>Тифлинг</x:v>
      </x:c>
      <x:c r="B167" s="21" t="str">
        <x:v>Бездны</x:v>
      </x:c>
      <x:c r="C167" s="21" t="str">
        <x:v>RACE-0009</x:v>
      </x:c>
      <x:c r="D167" s="21" t="str">
        <x:v>sub-abyssal</x:v>
      </x:c>
      <x:c r="E167" s="21" t="str">
        <x:v>1e194bbc-d321-4da0-a7f0-f3e72b2ab691</x:v>
      </x:c>
      <x:c r="F167" s="21" t="n">
        <x:v>5</x:v>
      </x:c>
      <x:c r="G167" s="21" t="str">
        <x:v>Trait</x:v>
      </x:c>
      <x:c r="H167" s="21" t="str">
        <x:v>Наследие III</x:v>
      </x:c>
      <x:c r="I167" s="21" t="str">
        <x:v>На 5-ом уровне вы получаете заклинание Удержание личности. Вы можете использовать его один раз до Долгого Отдыха.</x:v>
      </x:c>
      <x:c r="J167" s="21" t="str">
        <x:v>verified_partial</x:v>
      </x:c>
      <x:c r="K167" s="21" t="str">
        <x:v>Not tested</x:v>
      </x:c>
      <x:c r="L167" s="21" t="str"/>
      <x:c r="M167" s="21" t="str"/>
    </x:row>
    <x:row r="168" ht="48" customHeight="1">
      <x:c r="A168" s="21" t="str">
        <x:v>Тифлинг</x:v>
      </x:c>
      <x:c r="B168" s="21" t="str">
        <x:v>Бездны</x:v>
      </x:c>
      <x:c r="C168" s="21" t="str">
        <x:v>RACE-0009</x:v>
      </x:c>
      <x:c r="D168" s="21" t="str">
        <x:v>sub-abyssal</x:v>
      </x:c>
      <x:c r="E168" s="21" t="str">
        <x:v>1e194bbc-d321-4da0-a7f0-f3e72b2ab691</x:v>
      </x:c>
      <x:c r="F168" s="21" t="n">
        <x:v>1</x:v>
      </x:c>
      <x:c r="G168" s="21" t="str">
        <x:v>Effect</x:v>
      </x:c>
      <x:c r="H168" s="21" t="str">
        <x:v>Бездны</x:v>
      </x:c>
      <x:c r="I168" s="21" t="str">
        <x:v>Наследие Бездны: вы имеете [poison]Сопротивление урону Ядом:poison:[/poison] и знаете заговор [[Ядовитые брызги|spell:7d0c00e7-0cfa-4f3f-8650-aac70150538c]]. На 3-м уровне персонажа вы изучаете заклинание [[Луч болезни|spell:92bcd9dd-2b4f-4264-9d8f-ba16722051e0]] На 5-м — [[Удержание личности|spell:725ed0f6-99f8-4ebb-bbe2-87ac3e382d99]]; Каждое всегда подготовлено, его можно сотворить 1 раз без траты ячейки заклинаний (восстанавливается после Долгого отдыха) или с тратой ячеек подходящего уровня. Заклинательная характеристика — Интеллект, Мудрость или Харизма (выбирается при выборе наследия). | Activation: passive | Effects: [{"resolution":"auto","result":[{"damage_type":"poison","kind":"resistance","value":"resistance"},{"ability":"cha","kind":"grant_spell","level_gate":1,"value":"poison_spray"},{"ability":"cha","freeuse":{"count":1,"recharge":"long_rest"},"kind":"grant_spell","level_g…</x:v>
      </x:c>
      <x:c r="J168" s="21" t="str">
        <x:v>verified_mechanical</x:v>
      </x:c>
      <x:c r="K168" s="21" t="str">
        <x:v>Passed</x:v>
      </x:c>
      <x:c r="L168" s="21" t="str">
        <x:v>4c9ae5e8-675e-4f1c-be09-29ad0f838683</x:v>
      </x:c>
      <x:c r="M168"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4c9ae5e8-675e-4f1c-be09-29ad0f838683.</x:v>
      </x:c>
    </x:row>
    <x:row r="169" ht="48" customHeight="1">
      <x:c r="A169" s="21" t="str">
        <x:v>Тифлинг</x:v>
      </x:c>
      <x:c r="B169" s="21" t="str">
        <x:v>Хтоническое</x:v>
      </x:c>
      <x:c r="C169" s="21" t="str">
        <x:v>RACE-0009</x:v>
      </x:c>
      <x:c r="D169" s="21" t="str">
        <x:v>sub-chthonic</x:v>
      </x:c>
      <x:c r="E169" s="21" t="str">
        <x:v>a3d4c1d2-f472-489c-9445-2f456486451a</x:v>
      </x:c>
      <x:c r="F169" s="21" t="n">
        <x:v>1</x:v>
      </x:c>
      <x:c r="G169" s="21" t="str">
        <x:v>Species chassis</x:v>
      </x:c>
      <x:c r="H169" s="21" t="str">
        <x:v>Хтоническое</x:v>
      </x:c>
      <x:c r="I169" s="21" t="str">
        <x:v>Creature type —; size ; speed —; darkvision —. *Обладающие хтоническим наследием тифлинги ощущают не только притяжение Карцери, но и жадность Геенны и мрак Аида. Некоторые из этих тифлингов страшны, как трупы, другие обладают неземной красотой суккуба, третьи разделяют физические черты с ночными каргами, юголотами или иными Нейтрально-Злыми предками из исчадий.*</x:v>
      </x:c>
      <x:c r="J169" s="21" t="str">
        <x:v>verified_partial</x:v>
      </x:c>
      <x:c r="K169" s="21" t="str">
        <x:v>Passed</x:v>
      </x:c>
      <x:c r="L169" s="21" t="str">
        <x:v>b8c59efb-c962-4737-b846-6143a94afb1b</x:v>
      </x:c>
      <x:c r="M16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v>
      </x:c>
    </x:row>
    <x:row r="170" ht="48" customHeight="1">
      <x:c r="A170" s="21" t="str">
        <x:v>Тифлинг</x:v>
      </x:c>
      <x:c r="B170" s="21" t="str">
        <x:v>Хтоническое</x:v>
      </x:c>
      <x:c r="C170" s="21" t="str">
        <x:v>RACE-0009</x:v>
      </x:c>
      <x:c r="D170" s="21" t="str">
        <x:v>sub-chthonic</x:v>
      </x:c>
      <x:c r="E170" s="21" t="str">
        <x:v>a3d4c1d2-f472-489c-9445-2f456486451a</x:v>
      </x:c>
      <x:c r="F170" s="21" t="n">
        <x:v>1</x:v>
      </x:c>
      <x:c r="G170" s="21" t="str">
        <x:v>Trait</x:v>
      </x:c>
      <x:c r="H170" s="21" t="str">
        <x:v>Наследие I</x:v>
      </x:c>
      <x:c r="I170" s="21" t="str">
        <x:v>У вас есть Сопротивление [necrotic]Некротическому:necrotic: урону[/necrotic]. Вы также знаете заговор Леденящее прикосновение.</x:v>
      </x:c>
      <x:c r="J170" s="21" t="str">
        <x:v>verified_partial</x:v>
      </x:c>
      <x:c r="K170" s="21" t="str">
        <x:v>Passed</x:v>
      </x:c>
      <x:c r="L170" s="21" t="str">
        <x:v>b8c59efb-c962-4737-b846-6143a94afb1b</x:v>
      </x:c>
      <x:c r="M170"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v>
      </x:c>
    </x:row>
    <x:row r="171" ht="48" customHeight="1">
      <x:c r="A171" s="21" t="str">
        <x:v>Тифлинг</x:v>
      </x:c>
      <x:c r="B171" s="21" t="str">
        <x:v>Хтоническое</x:v>
      </x:c>
      <x:c r="C171" s="21" t="str">
        <x:v>RACE-0009</x:v>
      </x:c>
      <x:c r="D171" s="21" t="str">
        <x:v>sub-chthonic</x:v>
      </x:c>
      <x:c r="E171" s="21" t="str">
        <x:v>a3d4c1d2-f472-489c-9445-2f456486451a</x:v>
      </x:c>
      <x:c r="F171" s="21" t="n">
        <x:v>3</x:v>
      </x:c>
      <x:c r="G171" s="21" t="str">
        <x:v>Trait</x:v>
      </x:c>
      <x:c r="H171" s="21" t="str">
        <x:v>Наследие II</x:v>
      </x:c>
      <x:c r="I171" s="21" t="str">
        <x:v>На 3-ем уровне вы получаете заклинание Псевдожизнь. Вы можете использовать его один раз до Долгого Отдыха.</x:v>
      </x:c>
      <x:c r="J171" s="21" t="str">
        <x:v>verified_partial</x:v>
      </x:c>
      <x:c r="K171" s="21" t="str">
        <x:v>Not tested</x:v>
      </x:c>
      <x:c r="L171" s="21" t="str"/>
      <x:c r="M171" s="21" t="str"/>
    </x:row>
    <x:row r="172" ht="48" customHeight="1">
      <x:c r="A172" s="21" t="str">
        <x:v>Тифлинг</x:v>
      </x:c>
      <x:c r="B172" s="21" t="str">
        <x:v>Хтоническое</x:v>
      </x:c>
      <x:c r="C172" s="21" t="str">
        <x:v>RACE-0009</x:v>
      </x:c>
      <x:c r="D172" s="21" t="str">
        <x:v>sub-chthonic</x:v>
      </x:c>
      <x:c r="E172" s="21" t="str">
        <x:v>a3d4c1d2-f472-489c-9445-2f456486451a</x:v>
      </x:c>
      <x:c r="F172" s="21" t="n">
        <x:v>5</x:v>
      </x:c>
      <x:c r="G172" s="21" t="str">
        <x:v>Trait</x:v>
      </x:c>
      <x:c r="H172" s="21" t="str">
        <x:v>Наследие III</x:v>
      </x:c>
      <x:c r="I172" s="21" t="str">
        <x:v>На 5-ом уровне вы получаете заклинание Луч слабости. Вы можете использовать его один раз до Долгого Отдыха.</x:v>
      </x:c>
      <x:c r="J172" s="21" t="str">
        <x:v>verified_partial</x:v>
      </x:c>
      <x:c r="K172" s="21" t="str">
        <x:v>Not tested</x:v>
      </x:c>
      <x:c r="L172" s="21" t="str"/>
      <x:c r="M172" s="21" t="str"/>
    </x:row>
    <x:row r="173" ht="48" customHeight="1">
      <x:c r="A173" s="21" t="str">
        <x:v>Тифлинг</x:v>
      </x:c>
      <x:c r="B173" s="21" t="str">
        <x:v>Хтоническое</x:v>
      </x:c>
      <x:c r="C173" s="21" t="str">
        <x:v>RACE-0009</x:v>
      </x:c>
      <x:c r="D173" s="21" t="str">
        <x:v>sub-chthonic</x:v>
      </x:c>
      <x:c r="E173" s="21" t="str">
        <x:v>a3d4c1d2-f472-489c-9445-2f456486451a</x:v>
      </x:c>
      <x:c r="F173" s="21" t="n">
        <x:v>1</x:v>
      </x:c>
      <x:c r="G173" s="21" t="str">
        <x:v>Effect</x:v>
      </x:c>
      <x:c r="H173" s="21" t="str">
        <x:v>Хтоническое</x:v>
      </x:c>
      <x:c r="I173" s="21" t="str">
        <x:v>Хтоническое наследие (Наследие Исчадия): вы имеете Сопротивление урону Некротической энергией и знаете заговор Леденящее прикосновение. На 3-м уровне персонажа вы изучаете заклинание Псевдожизнь, на 5-м — Луч слабости; каждое всегда подготовлено, его можно сотворить 1 раз без траты ячейки заклинаний (восстанавливается после Долгого отдыха) или с тратой ячеек подходящего уровня. Заклинательная характеристика — Интеллект, Мудрость или Харизма (выбирается при выборе наследия). | Activation: passive | Effects: [{"resolution":"auto","result":[{"damage_type":"necrotic","kind":"resistance","value":"resistance"},{"ability":"cha","kind":"grant_spell","level_gate":1,"value":"chill_touch"},{"ability":"cha","freeuse":{"count":1,"recharge":"long_rest"},"kind":"grant_spell","level_gate":3,"value":"false_life"},{"ability":"cha","freeuse":{"count":1,"recharge":"long_rest"},"kind":"grant_spell","level_g…</x:v>
      </x:c>
      <x:c r="J173" s="21" t="str">
        <x:v>verified_mechanical</x:v>
      </x:c>
      <x:c r="K173" s="21" t="str">
        <x:v>Passed</x:v>
      </x:c>
      <x:c r="L173" s="21" t="str">
        <x:v>b8c59efb-c962-4737-b846-6143a94afb1b</x:v>
      </x:c>
      <x:c r="M173"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b8c59efb-c962-4737-b846-6143a94afb1b.</x:v>
      </x:c>
    </x:row>
    <x:row r="174" ht="48" customHeight="1">
      <x:c r="A174" s="21" t="str">
        <x:v>Тифлинг</x:v>
      </x:c>
      <x:c r="B174" s="21" t="str">
        <x:v>Инфернальное</x:v>
      </x:c>
      <x:c r="C174" s="21" t="str">
        <x:v>RACE-0009</x:v>
      </x:c>
      <x:c r="D174" s="21" t="str">
        <x:v>sub-infernal</x:v>
      </x:c>
      <x:c r="E174" s="21" t="str">
        <x:v>a9280a29-bb4a-4530-ad79-6b495f2a7943</x:v>
      </x:c>
      <x:c r="F174" s="21" t="n">
        <x:v>1</x:v>
      </x:c>
      <x:c r="G174" s="21" t="str">
        <x:v>Species chassis</x:v>
      </x:c>
      <x:c r="H174" s="21" t="str">
        <x:v>Инфернальное</x:v>
      </x:c>
      <x:c r="I174" s="21" t="str">
        <x:v>Creature type —; size ; speed —; darkvision —. *Дьявольское наследие связывает тифлингов с Геенной, с Девятью преисподними и с бушующими полями сражений Ахерона. Для таких тифлингов, ведущих свой род от дьяволов, характерны такие физические черты, как рожки, шипы, хвосты, золотистые глаза и слабый запах серы или дыма.*</x:v>
      </x:c>
      <x:c r="J174" s="21" t="str">
        <x:v>verified_partial</x:v>
      </x:c>
      <x:c r="K174" s="21" t="str">
        <x:v>Passed</x:v>
      </x:c>
      <x:c r="L174" s="21" t="str">
        <x:v>c14280ef-9a76-44f7-9982-4c4f8f6597d0</x:v>
      </x:c>
      <x:c r="M174"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v>
      </x:c>
    </x:row>
    <x:row r="175" ht="48" customHeight="1">
      <x:c r="A175" s="21" t="str">
        <x:v>Тифлинг</x:v>
      </x:c>
      <x:c r="B175" s="21" t="str">
        <x:v>Инфернальное</x:v>
      </x:c>
      <x:c r="C175" s="21" t="str">
        <x:v>RACE-0009</x:v>
      </x:c>
      <x:c r="D175" s="21" t="str">
        <x:v>sub-infernal</x:v>
      </x:c>
      <x:c r="E175" s="21" t="str">
        <x:v>a9280a29-bb4a-4530-ad79-6b495f2a7943</x:v>
      </x:c>
      <x:c r="F175" s="21" t="n">
        <x:v>1</x:v>
      </x:c>
      <x:c r="G175" s="21" t="str">
        <x:v>Trait</x:v>
      </x:c>
      <x:c r="H175" s="21" t="str">
        <x:v>Наследие I</x:v>
      </x:c>
      <x:c r="I175" s="21" t="str">
        <x:v>У вас есть Сопротивление [fire]урону Огнём:fire:[/fire]. Вы также знаете заговор Огненный снаряд.</x:v>
      </x:c>
      <x:c r="J175" s="21" t="str">
        <x:v>verified_partial</x:v>
      </x:c>
      <x:c r="K175" s="21" t="str">
        <x:v>Passed</x:v>
      </x:c>
      <x:c r="L175" s="21" t="str">
        <x:v>c14280ef-9a76-44f7-9982-4c4f8f6597d0</x:v>
      </x:c>
      <x:c r="M17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v>
      </x:c>
    </x:row>
    <x:row r="176" ht="48" customHeight="1">
      <x:c r="A176" s="21" t="str">
        <x:v>Тифлинг</x:v>
      </x:c>
      <x:c r="B176" s="21" t="str">
        <x:v>Инфернальное</x:v>
      </x:c>
      <x:c r="C176" s="21" t="str">
        <x:v>RACE-0009</x:v>
      </x:c>
      <x:c r="D176" s="21" t="str">
        <x:v>sub-infernal</x:v>
      </x:c>
      <x:c r="E176" s="21" t="str">
        <x:v>a9280a29-bb4a-4530-ad79-6b495f2a7943</x:v>
      </x:c>
      <x:c r="F176" s="21" t="n">
        <x:v>3</x:v>
      </x:c>
      <x:c r="G176" s="21" t="str">
        <x:v>Trait</x:v>
      </x:c>
      <x:c r="H176" s="21" t="str">
        <x:v>Наследие II</x:v>
      </x:c>
      <x:c r="I176" s="21" t="str">
        <x:v>На 3-ем уровне вы получаете заклинание Адское возмездие. Вы можете использовать его один раз до Долгого Отдыха.</x:v>
      </x:c>
      <x:c r="J176" s="21" t="str">
        <x:v>verified_partial</x:v>
      </x:c>
      <x:c r="K176" s="21" t="str">
        <x:v>Not tested</x:v>
      </x:c>
      <x:c r="L176" s="21" t="str"/>
      <x:c r="M176" s="21" t="str"/>
    </x:row>
    <x:row r="177" ht="48" customHeight="1">
      <x:c r="A177" s="21" t="str">
        <x:v>Тифлинг</x:v>
      </x:c>
      <x:c r="B177" s="21" t="str">
        <x:v>Инфернальное</x:v>
      </x:c>
      <x:c r="C177" s="21" t="str">
        <x:v>RACE-0009</x:v>
      </x:c>
      <x:c r="D177" s="21" t="str">
        <x:v>sub-infernal</x:v>
      </x:c>
      <x:c r="E177" s="21" t="str">
        <x:v>a9280a29-bb4a-4530-ad79-6b495f2a7943</x:v>
      </x:c>
      <x:c r="F177" s="21" t="n">
        <x:v>5</x:v>
      </x:c>
      <x:c r="G177" s="21" t="str">
        <x:v>Trait</x:v>
      </x:c>
      <x:c r="H177" s="21" t="str">
        <x:v>Наследие III</x:v>
      </x:c>
      <x:c r="I177" s="21" t="str">
        <x:v>На 5-ом уровне вы получаете заклинание Тьма. Вы можете использовать его один раз до Долгого Отдыха.</x:v>
      </x:c>
      <x:c r="J177" s="21" t="str">
        <x:v>verified_partial</x:v>
      </x:c>
      <x:c r="K177" s="21" t="str">
        <x:v>Not tested</x:v>
      </x:c>
      <x:c r="L177" s="21" t="str"/>
      <x:c r="M177" s="21" t="str"/>
    </x:row>
    <x:row r="178" ht="48" customHeight="1">
      <x:c r="A178" s="21" t="str">
        <x:v>Тифлинг</x:v>
      </x:c>
      <x:c r="B178" s="21" t="str">
        <x:v>Инфернальное</x:v>
      </x:c>
      <x:c r="C178" s="21" t="str">
        <x:v>RACE-0009</x:v>
      </x:c>
      <x:c r="D178" s="21" t="str">
        <x:v>sub-infernal</x:v>
      </x:c>
      <x:c r="E178" s="21" t="str">
        <x:v>a9280a29-bb4a-4530-ad79-6b495f2a7943</x:v>
      </x:c>
      <x:c r="F178" s="21" t="n">
        <x:v>1</x:v>
      </x:c>
      <x:c r="G178" s="21" t="str">
        <x:v>Effect</x:v>
      </x:c>
      <x:c r="H178" s="21" t="str">
        <x:v>Инфернальное</x:v>
      </x:c>
      <x:c r="I178" s="21" t="str">
        <x:v>Инфернальное наследие (Наследие Исчадия): вы имеете Сопротивление урону Огнём и знаете заговор Огненный снаряд. На 3-м уровне персонажа вы изучаете заклинание Адское возмездие, на 5-м — Тьма; каждое всегда подготовлено, его можно сотворить 1 раз без траты ячейки заклинаний (восстанавливается после Долгого отдыха) или с тратой ячеек подходящего уровня. Заклинательная характеристика — Интеллект, Мудрость или Харизма (выбирается при выборе наследия). | Activation: passive | Effects: [{"resolution":"auto","result":[{"damage_type":"fire","kind":"resistance","value":"resistance"},{"ability":"cha","kind":"grant_spell","level_gate":1,"value":"fire_bolt"},{"ability":"cha","freeuse":{"count":1,"recharge":"long_rest"},"kind":"grant_spell","level_gate":3,"value":"hellish_rebuke"},{"ability":"cha","freeuse":{"count":1,"recharge":"long_rest"},"kind":"grant_spell","level_gate":5,"value":"darkness"}]}]</x:v>
      </x:c>
      <x:c r="J178" s="21" t="str">
        <x:v>verified_mechanical</x:v>
      </x:c>
      <x:c r="K178" s="21" t="str">
        <x:v>Passed</x:v>
      </x:c>
      <x:c r="L178" s="21" t="str">
        <x:v>c14280ef-9a76-44f7-9982-4c4f8f6597d0</x:v>
      </x:c>
      <x:c r="M178"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c14280ef-9a76-44f7-9982-4c4f8f6597d0.</x:v>
      </x:c>
    </x:row>
    <x:row r="179" ht="48" customHeight="1">
      <x:c r="A179" s="21" t="str">
        <x:v>Человек</x:v>
      </x:c>
      <x:c r="B179" s="21" t="str">
        <x:v>Base species</x:v>
      </x:c>
      <x:c r="C179" s="21" t="str">
        <x:v>RACE-0002</x:v>
      </x:c>
      <x:c r="D179" s="21" t="str">
        <x:v>RACE-0002</x:v>
      </x:c>
      <x:c r="E179" s="21" t="str">
        <x:v>bda5fc05-255a-45bb-8e90-9b350ba5e14a</x:v>
      </x:c>
      <x:c r="F179" s="21" t="n">
        <x:v>1</x:v>
      </x:c>
      <x:c r="G179" s="21" t="str">
        <x:v>Species chassis</x:v>
      </x:c>
      <x:c r="H179" s="21" t="str">
        <x:v>Человек</x:v>
      </x:c>
      <x:c r="I179" s="21" t="str">
        <x:v>Creature type Гуманоид; size Средний или Маленький; speed 30; darkvision —. Люди встречаются по всей мультивселенной и столь же разнообразны, сколь и многочисленны. Они стремятся достичь как можно большего за отведённые им годы жизни, а их честолюбие и находчивость вызывают зависть, уважение и ужас во многих мирах. Первые упоминания о людях связаны с Сигилом — Городом Дверей в центре мультивселенной, где зародился Общий язык и откуда, возможно, человечество и расселилось по планам.</x:v>
      </x:c>
      <x:c r="J179" s="21" t="str">
        <x:v>verified_partial</x:v>
      </x:c>
      <x:c r="K179" s="21" t="str">
        <x:v>Passed</x:v>
      </x:c>
      <x:c r="L179" s="21" t="str">
        <x:v>91715a83-9806-4397-8a06-4e0a07c82ee7</x:v>
      </x:c>
      <x:c r="M179"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0" ht="48" customHeight="1">
      <x:c r="A180" s="21" t="str">
        <x:v>Человек</x:v>
      </x:c>
      <x:c r="B180" s="21" t="str">
        <x:v>Base species</x:v>
      </x:c>
      <x:c r="C180" s="21" t="str">
        <x:v>RACE-0002</x:v>
      </x:c>
      <x:c r="D180" s="21" t="str">
        <x:v>RACE-0002</x:v>
      </x:c>
      <x:c r="E180" s="21" t="str">
        <x:v>bda5fc05-255a-45bb-8e90-9b350ba5e14a</x:v>
      </x:c>
      <x:c r="F180" s="21" t="n">
        <x:v>1</x:v>
      </x:c>
      <x:c r="G180" s="21" t="str">
        <x:v>Trait</x:v>
      </x:c>
      <x:c r="H180" s="21" t="str">
        <x:v>Находчивый</x:v>
      </x:c>
      <x:c r="I180" s="21" t="str">
        <x:v>Вы получаете Героическое вдохновение каждый раз, когда завершаете Долгий отдых.</x:v>
      </x:c>
      <x:c r="J180" s="21" t="str">
        <x:v>verified_partial</x:v>
      </x:c>
      <x:c r="K180" s="21" t="str">
        <x:v>Passed</x:v>
      </x:c>
      <x:c r="L180" s="21" t="str">
        <x:v>91715a83-9806-4397-8a06-4e0a07c82ee7</x:v>
      </x:c>
      <x:c r="M180"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1" ht="48" customHeight="1">
      <x:c r="A181" s="21" t="str">
        <x:v>Человек</x:v>
      </x:c>
      <x:c r="B181" s="21" t="str">
        <x:v>Base species</x:v>
      </x:c>
      <x:c r="C181" s="21" t="str">
        <x:v>RACE-0002</x:v>
      </x:c>
      <x:c r="D181" s="21" t="str">
        <x:v>RACE-0002</x:v>
      </x:c>
      <x:c r="E181" s="21" t="str">
        <x:v>bda5fc05-255a-45bb-8e90-9b350ba5e14a</x:v>
      </x:c>
      <x:c r="F181" s="21" t="n">
        <x:v>1</x:v>
      </x:c>
      <x:c r="G181" s="21" t="str">
        <x:v>Trait</x:v>
      </x:c>
      <x:c r="H181" s="21" t="str">
        <x:v>Умелый</x:v>
      </x:c>
      <x:c r="I181" s="21" t="str">
        <x:v>Вы получаете владение одним навыком на ваш выбор.</x:v>
      </x:c>
      <x:c r="J181" s="21" t="str">
        <x:v>verified_partial</x:v>
      </x:c>
      <x:c r="K181" s="21" t="str">
        <x:v>Passed</x:v>
      </x:c>
      <x:c r="L181" s="21" t="str">
        <x:v>91715a83-9806-4397-8a06-4e0a07c82ee7</x:v>
      </x:c>
      <x:c r="M181"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2" ht="48" customHeight="1">
      <x:c r="A182" s="21" t="str">
        <x:v>Человек</x:v>
      </x:c>
      <x:c r="B182" s="21" t="str">
        <x:v>Base species</x:v>
      </x:c>
      <x:c r="C182" s="21" t="str">
        <x:v>RACE-0002</x:v>
      </x:c>
      <x:c r="D182" s="21" t="str">
        <x:v>RACE-0002</x:v>
      </x:c>
      <x:c r="E182" s="21" t="str">
        <x:v>bda5fc05-255a-45bb-8e90-9b350ba5e14a</x:v>
      </x:c>
      <x:c r="F182" s="21" t="n">
        <x:v>1</x:v>
      </x:c>
      <x:c r="G182" s="21" t="str">
        <x:v>Trait</x:v>
      </x:c>
      <x:c r="H182" s="21" t="str">
        <x:v>Гибкий</x:v>
      </x:c>
      <x:c r="I182" s="21" t="str">
        <x:v>Вы получаете черту Происхождения на ваш выбор. Рекомендуется Одарённый.</x:v>
      </x:c>
      <x:c r="J182" s="21" t="str">
        <x:v>verified_partial</x:v>
      </x:c>
      <x:c r="K182" s="21" t="str">
        <x:v>Passed</x:v>
      </x:c>
      <x:c r="L182" s="21" t="str">
        <x:v>91715a83-9806-4397-8a06-4e0a07c82ee7</x:v>
      </x:c>
      <x:c r="M182"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3" ht="48" customHeight="1">
      <x:c r="A183" s="21" t="str">
        <x:v>Человек</x:v>
      </x:c>
      <x:c r="B183" s="21" t="str">
        <x:v>Base species</x:v>
      </x:c>
      <x:c r="C183" s="21" t="str">
        <x:v>RACE-0002</x:v>
      </x:c>
      <x:c r="D183" s="21" t="str">
        <x:v>RACE-0002</x:v>
      </x:c>
      <x:c r="E183" s="21" t="str">
        <x:v>bda5fc05-255a-45bb-8e90-9b350ba5e14a</x:v>
      </x:c>
      <x:c r="F183" s="21" t="n">
        <x:v>1</x:v>
      </x:c>
      <x:c r="G183" s="21" t="str">
        <x:v>Effect</x:v>
      </x:c>
      <x:c r="H183" s="21" t="str">
        <x:v>Находчивый</x:v>
      </x:c>
      <x:c r="I183" s="21" t="str">
        <x:v>Вы получаете Героическое вдохновение каждый раз, когда завершаете Долгий отдых. | Activation: triggered | Trigger: {"event":"long_rest","timing":"after"} | Effects: [{"resolution":"auto","result":[{"amount":1,"id":"heroic_inspiration","kind":"resource","op":"grant"}]}]</x:v>
      </x:c>
      <x:c r="J183" s="21" t="str">
        <x:v>verified_mechanical</x:v>
      </x:c>
      <x:c r="K183" s="21" t="str">
        <x:v>Passed</x:v>
      </x:c>
      <x:c r="L183" s="21" t="str">
        <x:v>91715a83-9806-4397-8a06-4e0a07c82ee7</x:v>
      </x:c>
      <x:c r="M183"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4" ht="48" customHeight="1">
      <x:c r="A184" s="21" t="str">
        <x:v>Человек</x:v>
      </x:c>
      <x:c r="B184" s="21" t="str">
        <x:v>Base species</x:v>
      </x:c>
      <x:c r="C184" s="21" t="str">
        <x:v>RACE-0002</x:v>
      </x:c>
      <x:c r="D184" s="21" t="str">
        <x:v>RACE-0002</x:v>
      </x:c>
      <x:c r="E184" s="21" t="str">
        <x:v>bda5fc05-255a-45bb-8e90-9b350ba5e14a</x:v>
      </x:c>
      <x:c r="F184" s="21" t="n">
        <x:v>1</x:v>
      </x:c>
      <x:c r="G184" s="21" t="str">
        <x:v>Effect</x:v>
      </x:c>
      <x:c r="H184" s="21" t="str">
        <x:v>Умелый</x:v>
      </x:c>
      <x:c r="I184" s="21" t="str">
        <x:v>Вы получаете владение одним навыком на ваш выбор. | Activation: triggered | Trigger: {"event":"on_acquire","timing":"before"} | Effects: [{"resolution":"auto","result":[{"count":1,"grant":{"kind":"grant_proficiency","prof":"skill"},"id":"human_skill","kind":"choice","options":{"filter":"all","source":"skill"},"prompt":"Выберите навык","resolution":"on_acquire"}]}]</x:v>
      </x:c>
      <x:c r="J184" s="21" t="str">
        <x:v>verified_mechanical</x:v>
      </x:c>
      <x:c r="K184" s="21" t="str">
        <x:v>Passed</x:v>
      </x:c>
      <x:c r="L184" s="21" t="str">
        <x:v>91715a83-9806-4397-8a06-4e0a07c82ee7</x:v>
      </x:c>
      <x:c r="M184"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5" ht="48" customHeight="1">
      <x:c r="A185" s="21" t="str">
        <x:v>Человек</x:v>
      </x:c>
      <x:c r="B185" s="21" t="str">
        <x:v>Base species</x:v>
      </x:c>
      <x:c r="C185" s="21" t="str">
        <x:v>RACE-0002</x:v>
      </x:c>
      <x:c r="D185" s="21" t="str">
        <x:v>RACE-0002</x:v>
      </x:c>
      <x:c r="E185" s="21" t="str">
        <x:v>bda5fc05-255a-45bb-8e90-9b350ba5e14a</x:v>
      </x:c>
      <x:c r="F185" s="21" t="n">
        <x:v>1</x:v>
      </x:c>
      <x:c r="G185" s="21" t="str">
        <x:v>Effect</x:v>
      </x:c>
      <x:c r="H185" s="21" t="str">
        <x:v>Гибкий</x:v>
      </x:c>
      <x:c r="I185" s="21" t="str">
        <x:v>Вы получаете черту Происхождения на ваш выбор. Рекомендуется Одарённый. | Activation: triggered | Trigger: {"event":"on_acquire","timing":"before"} | Effects: [{"resolution":"auto","result":[{"count":1,"grant":{"kind":"grant_feat"},"id":"human_feat","kind":"choice","options":{"filter":"origin_feats","source":"feat"},"prompt":"Выберите черту Происхождения","recommended":["skilled"],"resolution":"on_acquire"}]}]</x:v>
      </x:c>
      <x:c r="J185" s="21" t="str">
        <x:v>verified_mechanical</x:v>
      </x:c>
      <x:c r="K185" s="21" t="str">
        <x:v>Passed</x:v>
      </x:c>
      <x:c r="L185" s="21" t="str">
        <x:v>91715a83-9806-4397-8a06-4e0a07c82ee7</x:v>
      </x:c>
      <x:c r="M185" s="21" t="str">
        <x:v>PASS — production cfc64ca17d88dc6e15717b9e454c9824ac2b055d. Sheet: the complete level-1 species chassis and listed traits/actions are present with source provenance. Combat/runtime: every non-spell payload passed the production-derived 31-combination × 13-class × levels 1/3/5/20 matrix (1,612 builds), with retained production characters used for sheet/combat/clarity verification. Costs, resources, effects, and target-visible results are readable. Spell entities are not rated here. Retained character ID(s): 91715a83-9806-4397-8a06-4e0a07c82ee7.</x:v>
      </x:c>
    </x:row>
    <x:row r="186" ht="48" customHeight="1">
      <x:c r="A186" s="21" t="str">
        <x:v>Эльф</x:v>
      </x:c>
      <x:c r="B186" s="21" t="str">
        <x:v>Base species</x:v>
      </x:c>
      <x:c r="C186" s="21" t="str">
        <x:v>RACE-0004</x:v>
      </x:c>
      <x:c r="D186" s="21" t="str">
        <x:v>RACE-0004</x:v>
      </x:c>
      <x:c r="E186" s="21" t="str">
        <x:v>4c9dd44e-cf60-46b1-9971-f717572d8a43</x:v>
      </x:c>
      <x:c r="F186" s="21" t="n">
        <x:v>1</x:v>
      </x:c>
      <x:c r="G186" s="21" t="str">
        <x:v>Species chassis</x:v>
      </x:c>
      <x:c r="H186" s="21" t="str">
        <x:v>Эльф</x:v>
      </x:c>
      <x:c r="I186" s="21" t="str">
        <x:v>Creature type Гуманоид; size Средний; speed 30; darkvision 60. Первые эльфы были созданы богом Кореллоном и могли изменять свой облик по желанию, но утратили этот дар, когда Кореллон проклял их за сговор с Лолс. Опечаленные потерей, эльфы ушли в Страну Фей, а со временем любопытство повело их исследовать другие планы бытия, включая миры Материального плана. У эльфов заострённые уши, они живут около 750 лет и вместо сна впадают в транс, погружаясь в воспоминания и размышления. За тысячелетия окружающая среда наделила их разной магией — так появились высшие эльфы, дроу и лесные эльфы.</x:v>
      </x:c>
      <x:c r="J186" s="21" t="str">
        <x:v>verified_partial</x:v>
      </x:c>
      <x:c r="K186" s="21" t="str">
        <x:v>Passed</x:v>
      </x:c>
      <x:c r="L186" s="21" t="str">
        <x:v>f8e7549a-fe5c-4347-9d90-a7e27bfe94b9, 7ead921a-632f-4b2a-af08-a9b290bcdf64, 18cb9b1a-1cf7-436e-960a-9f3a669e4c0d</x:v>
      </x:c>
      <x:c r="M186"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87" ht="48" customHeight="1">
      <x:c r="A187" s="21" t="str">
        <x:v>Эльф</x:v>
      </x:c>
      <x:c r="B187" s="21" t="str">
        <x:v>Base species</x:v>
      </x:c>
      <x:c r="C187" s="21" t="str">
        <x:v>RACE-0004</x:v>
      </x:c>
      <x:c r="D187" s="21" t="str">
        <x:v>RACE-0004</x:v>
      </x:c>
      <x:c r="E187" s="21" t="str">
        <x:v>4c9dd44e-cf60-46b1-9971-f717572d8a43</x:v>
      </x:c>
      <x:c r="F187" s="21" t="n">
        <x:v>1</x:v>
      </x:c>
      <x:c r="G187" s="21" t="str">
        <x:v>Trait</x:v>
      </x:c>
      <x:c r="H187" s="21" t="str">
        <x:v>Тёмное зрение</x:v>
      </x:c>
      <x:c r="I187" s="21" t="str">
        <x:v>Тёмное зрение 60 футов.</x:v>
      </x:c>
      <x:c r="J187" s="21" t="str">
        <x:v>verified_partial</x:v>
      </x:c>
      <x:c r="K187" s="21" t="str">
        <x:v>Passed</x:v>
      </x:c>
      <x:c r="L187" s="21" t="str">
        <x:v>f8e7549a-fe5c-4347-9d90-a7e27bfe94b9, 7ead921a-632f-4b2a-af08-a9b290bcdf64, 18cb9b1a-1cf7-436e-960a-9f3a669e4c0d</x:v>
      </x:c>
      <x:c r="M187"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88" ht="48" customHeight="1">
      <x:c r="A188" s="21" t="str">
        <x:v>Эльф</x:v>
      </x:c>
      <x:c r="B188" s="21" t="str">
        <x:v>Base species</x:v>
      </x:c>
      <x:c r="C188" s="21" t="str">
        <x:v>RACE-0004</x:v>
      </x:c>
      <x:c r="D188" s="21" t="str">
        <x:v>RACE-0004</x:v>
      </x:c>
      <x:c r="E188" s="21" t="str">
        <x:v>4c9dd44e-cf60-46b1-9971-f717572d8a43</x:v>
      </x:c>
      <x:c r="F188" s="21" t="n">
        <x:v>1</x:v>
      </x:c>
      <x:c r="G188" s="21" t="str">
        <x:v>Trait</x:v>
      </x:c>
      <x:c r="H188" s="21" t="str">
        <x:v>Происхождение фей</x:v>
      </x:c>
      <x:c r="I188" s="21" t="str">
        <x:v>Преимущество на спасброски, чтобы избежать состояния Очарован или прекратить его.</x:v>
      </x:c>
      <x:c r="J188" s="21" t="str">
        <x:v>verified_partial</x:v>
      </x:c>
      <x:c r="K188" s="21" t="str">
        <x:v>Passed</x:v>
      </x:c>
      <x:c r="L188" s="21" t="str">
        <x:v>f8e7549a-fe5c-4347-9d90-a7e27bfe94b9, 7ead921a-632f-4b2a-af08-a9b290bcdf64, 18cb9b1a-1cf7-436e-960a-9f3a669e4c0d</x:v>
      </x:c>
      <x:c r="M188"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89" ht="48" customHeight="1">
      <x:c r="A189" s="21" t="str">
        <x:v>Эльф</x:v>
      </x:c>
      <x:c r="B189" s="21" t="str">
        <x:v>Base species</x:v>
      </x:c>
      <x:c r="C189" s="21" t="str">
        <x:v>RACE-0004</x:v>
      </x:c>
      <x:c r="D189" s="21" t="str">
        <x:v>RACE-0004</x:v>
      </x:c>
      <x:c r="E189" s="21" t="str">
        <x:v>4c9dd44e-cf60-46b1-9971-f717572d8a43</x:v>
      </x:c>
      <x:c r="F189" s="21" t="n">
        <x:v>1</x:v>
      </x:c>
      <x:c r="G189" s="21" t="str">
        <x:v>Trait</x:v>
      </x:c>
      <x:c r="H189" s="21" t="str">
        <x:v>Острые чувства</x:v>
      </x:c>
      <x:c r="I189" s="21" t="str">
        <x:v>Владение одним навыком на выбор: Проницательность, Восприятие или Выживание.</x:v>
      </x:c>
      <x:c r="J189" s="21" t="str">
        <x:v>verified_partial</x:v>
      </x:c>
      <x:c r="K189" s="21" t="str">
        <x:v>Passed</x:v>
      </x:c>
      <x:c r="L189" s="21" t="str">
        <x:v>f8e7549a-fe5c-4347-9d90-a7e27bfe94b9, 7ead921a-632f-4b2a-af08-a9b290bcdf64, 18cb9b1a-1cf7-436e-960a-9f3a669e4c0d</x:v>
      </x:c>
      <x:c r="M189"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0" ht="48" customHeight="1">
      <x:c r="A190" s="21" t="str">
        <x:v>Эльф</x:v>
      </x:c>
      <x:c r="B190" s="21" t="str">
        <x:v>Base species</x:v>
      </x:c>
      <x:c r="C190" s="21" t="str">
        <x:v>RACE-0004</x:v>
      </x:c>
      <x:c r="D190" s="21" t="str">
        <x:v>RACE-0004</x:v>
      </x:c>
      <x:c r="E190" s="21" t="str">
        <x:v>4c9dd44e-cf60-46b1-9971-f717572d8a43</x:v>
      </x:c>
      <x:c r="F190" s="21" t="n">
        <x:v>1</x:v>
      </x:c>
      <x:c r="G190" s="21" t="str">
        <x:v>Trait</x:v>
      </x:c>
      <x:c r="H190" s="21" t="str">
        <x:v>Эльфийское наследие</x:v>
      </x:c>
      <x:c r="I190" s="21" t="str">
        <x:v>Выберите происхождение: Дроу, Высший эльф или Лесной эльф.</x:v>
      </x:c>
      <x:c r="J190" s="21" t="str">
        <x:v>verified_partial</x:v>
      </x:c>
      <x:c r="K190" s="21" t="str">
        <x:v>Passed</x:v>
      </x:c>
      <x:c r="L190" s="21" t="str">
        <x:v>f8e7549a-fe5c-4347-9d90-a7e27bfe94b9, 7ead921a-632f-4b2a-af08-a9b290bcdf64, 18cb9b1a-1cf7-436e-960a-9f3a669e4c0d</x:v>
      </x:c>
      <x:c r="M190"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1" ht="48" customHeight="1">
      <x:c r="A191" s="21" t="str">
        <x:v>Эльф</x:v>
      </x:c>
      <x:c r="B191" s="21" t="str">
        <x:v>Base species</x:v>
      </x:c>
      <x:c r="C191" s="21" t="str">
        <x:v>RACE-0004</x:v>
      </x:c>
      <x:c r="D191" s="21" t="str">
        <x:v>RACE-0004</x:v>
      </x:c>
      <x:c r="E191" s="21" t="str">
        <x:v>4c9dd44e-cf60-46b1-9971-f717572d8a43</x:v>
      </x:c>
      <x:c r="F191" s="21" t="n">
        <x:v>1</x:v>
      </x:c>
      <x:c r="G191" s="21" t="str">
        <x:v>Lineage option</x:v>
      </x:c>
      <x:c r="H191" s="21" t="str">
        <x:v>Дроу</x:v>
      </x:c>
      <x:c r="I191" s="21" t="str">
        <x:v>grant_sense</x:v>
      </x:c>
      <x:c r="J191" s="21" t="str">
        <x:v>verified_partial</x:v>
      </x:c>
      <x:c r="K191" s="21" t="str">
        <x:v>Passed</x:v>
      </x:c>
      <x:c r="L191" s="21" t="str">
        <x:v>f8e7549a-fe5c-4347-9d90-a7e27bfe94b9, 7ead921a-632f-4b2a-af08-a9b290bcdf64, 18cb9b1a-1cf7-436e-960a-9f3a669e4c0d</x:v>
      </x:c>
      <x:c r="M191"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2" ht="48" customHeight="1">
      <x:c r="A192" s="21" t="str">
        <x:v>Эльф</x:v>
      </x:c>
      <x:c r="B192" s="21" t="str">
        <x:v>Base species</x:v>
      </x:c>
      <x:c r="C192" s="21" t="str">
        <x:v>RACE-0004</x:v>
      </x:c>
      <x:c r="D192" s="21" t="str">
        <x:v>RACE-0004</x:v>
      </x:c>
      <x:c r="E192" s="21" t="str">
        <x:v>4c9dd44e-cf60-46b1-9971-f717572d8a43</x:v>
      </x:c>
      <x:c r="F192" s="21" t="n">
        <x:v>1</x:v>
      </x:c>
      <x:c r="G192" s="21" t="str">
        <x:v>Lineage option</x:v>
      </x:c>
      <x:c r="H192" s="21" t="str">
        <x:v>Высший эльф</x:v>
      </x:c>
      <x:c r="I192" s="21" t="str">
        <x:v>grant_spell</x:v>
      </x:c>
      <x:c r="J192" s="21" t="str">
        <x:v>verified_partial</x:v>
      </x:c>
      <x:c r="K192" s="21" t="str">
        <x:v>Passed</x:v>
      </x:c>
      <x:c r="L192" s="21" t="str">
        <x:v>f8e7549a-fe5c-4347-9d90-a7e27bfe94b9, 7ead921a-632f-4b2a-af08-a9b290bcdf64, 18cb9b1a-1cf7-436e-960a-9f3a669e4c0d</x:v>
      </x:c>
      <x:c r="M192"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3" ht="48" customHeight="1">
      <x:c r="A193" s="21" t="str">
        <x:v>Эльф</x:v>
      </x:c>
      <x:c r="B193" s="21" t="str">
        <x:v>Base species</x:v>
      </x:c>
      <x:c r="C193" s="21" t="str">
        <x:v>RACE-0004</x:v>
      </x:c>
      <x:c r="D193" s="21" t="str">
        <x:v>RACE-0004</x:v>
      </x:c>
      <x:c r="E193" s="21" t="str">
        <x:v>4c9dd44e-cf60-46b1-9971-f717572d8a43</x:v>
      </x:c>
      <x:c r="F193" s="21" t="n">
        <x:v>1</x:v>
      </x:c>
      <x:c r="G193" s="21" t="str">
        <x:v>Lineage option</x:v>
      </x:c>
      <x:c r="H193" s="21" t="str">
        <x:v>Лесной эльф</x:v>
      </x:c>
      <x:c r="I193" s="21" t="str">
        <x:v>grant_speed</x:v>
      </x:c>
      <x:c r="J193" s="21" t="str">
        <x:v>verified_partial</x:v>
      </x:c>
      <x:c r="K193" s="21" t="str">
        <x:v>Passed</x:v>
      </x:c>
      <x:c r="L193" s="21" t="str">
        <x:v>f8e7549a-fe5c-4347-9d90-a7e27bfe94b9, 7ead921a-632f-4b2a-af08-a9b290bcdf64, 18cb9b1a-1cf7-436e-960a-9f3a669e4c0d</x:v>
      </x:c>
      <x:c r="M193"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4" ht="48" customHeight="1">
      <x:c r="A194" s="21" t="str">
        <x:v>Эльф</x:v>
      </x:c>
      <x:c r="B194" s="21" t="str">
        <x:v>Base species</x:v>
      </x:c>
      <x:c r="C194" s="21" t="str">
        <x:v>RACE-0004</x:v>
      </x:c>
      <x:c r="D194" s="21" t="str">
        <x:v>RACE-0004</x:v>
      </x:c>
      <x:c r="E194" s="21" t="str">
        <x:v>4c9dd44e-cf60-46b1-9971-f717572d8a43</x:v>
      </x:c>
      <x:c r="F194" s="21" t="n">
        <x:v>1</x:v>
      </x:c>
      <x:c r="G194" s="21" t="str">
        <x:v>Effect</x:v>
      </x:c>
      <x:c r="H194" s="21" t="str">
        <x:v>Происхождение фей</x:v>
      </x:c>
      <x:c r="I194" s="21" t="str">
        <x:v>Преимущество на спасброски, чтобы избежать состояния Очарован или прекратить его. | Activation: passive | Effects: [{"resolution":"auto","result":[{"applies_to":{"roll":"saving_throw"},"kind":"modifier","op":"advantage","when":[{"kind":"save_avoids_condition","value":"charmed"}]},{"condition":"unconscious","kind":"condition_immunity","required_cause_tags":["magical","sleep"]}]}]</x:v>
      </x:c>
      <x:c r="J194" s="21" t="str">
        <x:v>verified_mechanical</x:v>
      </x:c>
      <x:c r="K194" s="21" t="str">
        <x:v>Passed</x:v>
      </x:c>
      <x:c r="L194" s="21" t="str">
        <x:v>f8e7549a-fe5c-4347-9d90-a7e27bfe94b9, 7ead921a-632f-4b2a-af08-a9b290bcdf64, 18cb9b1a-1cf7-436e-960a-9f3a669e4c0d</x:v>
      </x:c>
      <x:c r="M194"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5" ht="48" customHeight="1">
      <x:c r="A195" s="21" t="str">
        <x:v>Эльф</x:v>
      </x:c>
      <x:c r="B195" s="21" t="str">
        <x:v>Base species</x:v>
      </x:c>
      <x:c r="C195" s="21" t="str">
        <x:v>RACE-0004</x:v>
      </x:c>
      <x:c r="D195" s="21" t="str">
        <x:v>RACE-0004</x:v>
      </x:c>
      <x:c r="E195" s="21" t="str">
        <x:v>4c9dd44e-cf60-46b1-9971-f717572d8a43</x:v>
      </x:c>
      <x:c r="F195" s="21" t="n">
        <x:v>1</x:v>
      </x:c>
      <x:c r="G195" s="21" t="str">
        <x:v>Effect</x:v>
      </x:c>
      <x:c r="H195" s="21" t="str">
        <x:v>Острые чувства</x:v>
      </x:c>
      <x:c r="I195" s="21" t="str">
        <x:v>Владение одним навыком на выбор: Проницательность, Восприятие или Выживание. | Activation: triggered | Trigger: {"event":"on_acquire","timing":"before"} | Effects: [{"resolution":"auto","result":[{"count":1,"grant":{"kind":"grant_proficiency","prof":"skill"},"id":"elf_skill","kind":"choice","options":{"filter":["insight","perception","survival"],"source":"skill"},"prompt":"Выберите навык","resolution":"on_acquire"}]}]</x:v>
      </x:c>
      <x:c r="J195" s="21" t="str">
        <x:v>verified_mechanical</x:v>
      </x:c>
      <x:c r="K195" s="21" t="str">
        <x:v>Passed</x:v>
      </x:c>
      <x:c r="L195" s="21" t="str">
        <x:v>f8e7549a-fe5c-4347-9d90-a7e27bfe94b9, 7ead921a-632f-4b2a-af08-a9b290bcdf64, 18cb9b1a-1cf7-436e-960a-9f3a669e4c0d</x:v>
      </x:c>
      <x:c r="M195"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6" ht="48" customHeight="1">
      <x:c r="A196" s="21" t="str">
        <x:v>Эльф</x:v>
      </x:c>
      <x:c r="B196" s="21" t="str">
        <x:v>Base species</x:v>
      </x:c>
      <x:c r="C196" s="21" t="str">
        <x:v>RACE-0004</x:v>
      </x:c>
      <x:c r="D196" s="21" t="str">
        <x:v>RACE-0004</x:v>
      </x:c>
      <x:c r="E196" s="21" t="str">
        <x:v>4c9dd44e-cf60-46b1-9971-f717572d8a43</x:v>
      </x:c>
      <x:c r="F196" s="21" t="n">
        <x:v>1</x:v>
      </x:c>
      <x:c r="G196" s="21" t="str">
        <x:v>Effect</x:v>
      </x:c>
      <x:c r="H196" s="21" t="str">
        <x:v>Тёмное зрение</x:v>
      </x:c>
      <x:c r="I196" s="21" t="str">
        <x:v>На расстоянии в 60 футов вы при тусклом освещении можете видеть так, как будто это яркое освещение, и в темноте так, как будто это тусклое освещение. В темноте вы не можете различать цвета, только оттенки серого. | Activation: passive | Effects: [{"resolution":"auto","result":[{"kind":"grant_sense","range":60,"sense":"darkvision"}]}]</x:v>
      </x:c>
      <x:c r="J196" s="21" t="str">
        <x:v>verified_partial</x:v>
      </x:c>
      <x:c r="K196" s="21" t="str">
        <x:v>Passed</x:v>
      </x:c>
      <x:c r="L196" s="21" t="str">
        <x:v>f8e7549a-fe5c-4347-9d90-a7e27bfe94b9, 7ead921a-632f-4b2a-af08-a9b290bcdf64, 18cb9b1a-1cf7-436e-960a-9f3a669e4c0d</x:v>
      </x:c>
      <x:c r="M196"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 7ead921a-632f-4b2a-af08-a9b290bcdf64, 18cb9b1a-1cf7-436e-960a-9f3a669e4c0d.</x:v>
      </x:c>
    </x:row>
    <x:row r="197" ht="48" customHeight="1">
      <x:c r="A197" s="21" t="str">
        <x:v>Эльф</x:v>
      </x:c>
      <x:c r="B197" s="21" t="str">
        <x:v>Дроу</x:v>
      </x:c>
      <x:c r="C197" s="21" t="str">
        <x:v>RACE-0004</x:v>
      </x:c>
      <x:c r="D197" s="21" t="str">
        <x:v>sub-drow</x:v>
      </x:c>
      <x:c r="E197" s="21" t="str">
        <x:v>1aeec902-a018-445e-a866-5b552600d667</x:v>
      </x:c>
      <x:c r="F197" s="21" t="n">
        <x:v>1</x:v>
      </x:c>
      <x:c r="G197" s="21" t="str">
        <x:v>Species chassis</x:v>
      </x:c>
      <x:c r="H197" s="21" t="str">
        <x:v>Дроу</x:v>
      </x:c>
      <x:c r="I197" s="21" t="str">
        <x:v>Creature type Гуманоид; size Средний; speed 30; darkvision —. Дроу обычно обитают в Подземье, и оно сформировало их магию. Некоторые дроу избегают Подземья, но всё равно несут его магию в себе.</x:v>
      </x:c>
      <x:c r="J197" s="21" t="str">
        <x:v>verified_partial</x:v>
      </x:c>
      <x:c r="K197" s="21" t="str">
        <x:v>Passed</x:v>
      </x:c>
      <x:c r="L197" s="21" t="str">
        <x:v>f8e7549a-fe5c-4347-9d90-a7e27bfe94b9</x:v>
      </x:c>
      <x:c r="M197"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v>
      </x:c>
    </x:row>
    <x:row r="198" ht="48" customHeight="1">
      <x:c r="A198" s="21" t="str">
        <x:v>Эльф</x:v>
      </x:c>
      <x:c r="B198" s="21" t="str">
        <x:v>Дроу</x:v>
      </x:c>
      <x:c r="C198" s="21" t="str">
        <x:v>RACE-0004</x:v>
      </x:c>
      <x:c r="D198" s="21" t="str">
        <x:v>sub-drow</x:v>
      </x:c>
      <x:c r="E198" s="21" t="str">
        <x:v>1aeec902-a018-445e-a866-5b552600d667</x:v>
      </x:c>
      <x:c r="F198" s="21" t="n">
        <x:v>1</x:v>
      </x:c>
      <x:c r="G198" s="21" t="str">
        <x:v>Trait</x:v>
      </x:c>
      <x:c r="H198" s="21" t="str">
        <x:v>Пляшущие огоньки</x:v>
      </x:c>
      <x:c r="I198" s="21" t="str">
        <x:v>Дальность вашего тёмного зрения увеличивается до 120 футов. Вы также узнаёте заговор Пляшущие огоньки.</x:v>
      </x:c>
      <x:c r="J198" s="21" t="str">
        <x:v>verified_partial</x:v>
      </x:c>
      <x:c r="K198" s="21" t="str">
        <x:v>Passed</x:v>
      </x:c>
      <x:c r="L198" s="21" t="str">
        <x:v>f8e7549a-fe5c-4347-9d90-a7e27bfe94b9</x:v>
      </x:c>
      <x:c r="M198"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v>
      </x:c>
    </x:row>
    <x:row r="199" ht="48" customHeight="1">
      <x:c r="A199" s="21" t="str">
        <x:v>Эльф</x:v>
      </x:c>
      <x:c r="B199" s="21" t="str">
        <x:v>Дроу</x:v>
      </x:c>
      <x:c r="C199" s="21" t="str">
        <x:v>RACE-0004</x:v>
      </x:c>
      <x:c r="D199" s="21" t="str">
        <x:v>sub-drow</x:v>
      </x:c>
      <x:c r="E199" s="21" t="str">
        <x:v>1aeec902-a018-445e-a866-5b552600d667</x:v>
      </x:c>
      <x:c r="F199" s="21" t="n">
        <x:v>3</x:v>
      </x:c>
      <x:c r="G199" s="21" t="str">
        <x:v>Trait</x:v>
      </x:c>
      <x:c r="H199" s="21" t="str">
        <x:v>Огонь фей</x:v>
      </x:c>
      <x:c r="I199" s="21" t="str">
        <x:v>На 3-ем уровне вы узнаёте заклинание Огонь фей. Вы можете использовать его один раз до Долгого отдыха.</x:v>
      </x:c>
      <x:c r="J199" s="21" t="str">
        <x:v>verified_partial</x:v>
      </x:c>
      <x:c r="K199" s="21" t="str">
        <x:v>Not tested</x:v>
      </x:c>
      <x:c r="L199" s="21" t="str"/>
      <x:c r="M199" s="21" t="str"/>
    </x:row>
    <x:row r="200" ht="48" customHeight="1">
      <x:c r="A200" s="21" t="str">
        <x:v>Эльф</x:v>
      </x:c>
      <x:c r="B200" s="21" t="str">
        <x:v>Дроу</x:v>
      </x:c>
      <x:c r="C200" s="21" t="str">
        <x:v>RACE-0004</x:v>
      </x:c>
      <x:c r="D200" s="21" t="str">
        <x:v>sub-drow</x:v>
      </x:c>
      <x:c r="E200" s="21" t="str">
        <x:v>1aeec902-a018-445e-a866-5b552600d667</x:v>
      </x:c>
      <x:c r="F200" s="21" t="n">
        <x:v>5</x:v>
      </x:c>
      <x:c r="G200" s="21" t="str">
        <x:v>Trait</x:v>
      </x:c>
      <x:c r="H200" s="21" t="str">
        <x:v>Тьма</x:v>
      </x:c>
      <x:c r="I200" s="21" t="str">
        <x:v>На 5-ом уровне вы узнаёте заклинание Тьма. Вы можете использовать его один раз до Долгого отдыха.</x:v>
      </x:c>
      <x:c r="J200" s="21" t="str">
        <x:v>verified_partial</x:v>
      </x:c>
      <x:c r="K200" s="21" t="str">
        <x:v>Not tested</x:v>
      </x:c>
      <x:c r="L200" s="21" t="str"/>
      <x:c r="M200" s="21" t="str"/>
    </x:row>
    <x:row r="201" ht="48" customHeight="1">
      <x:c r="A201" s="21" t="str">
        <x:v>Эльф</x:v>
      </x:c>
      <x:c r="B201" s="21" t="str">
        <x:v>Дроу</x:v>
      </x:c>
      <x:c r="C201" s="21" t="str">
        <x:v>RACE-0004</x:v>
      </x:c>
      <x:c r="D201" s="21" t="str">
        <x:v>sub-drow</x:v>
      </x:c>
      <x:c r="E201" s="21" t="str">
        <x:v>1aeec902-a018-445e-a866-5b552600d667</x:v>
      </x:c>
      <x:c r="F201" s="21" t="n">
        <x:v>1</x:v>
      </x:c>
      <x:c r="G201" s="21" t="str">
        <x:v>Effect</x:v>
      </x:c>
      <x:c r="H201" s="21" t="str">
        <x:v>Дроу</x:v>
      </x:c>
      <x:c r="I201" s="21" t="str">
        <x:v>Магия подвида дроу: расширенное тёмное зрение и заклинания Подземья. | Activation: passive | Effects: [{"resolution":"auto","result":[{"kind":"grant_sense","range":120,"sense":"darkvision"},{"ability":"cha","kind":"grant_spell","level_gate":1,"value":"dancing_lights"},{"ability":"cha","freeuse":{"count":1,"recharge":"long_rest"},"kind":"grant_spell","level_gate":3,"value":"faerie_fire"},{"ability":"cha","freeuse":{"count":1,"recharge":"long_rest"},"kind":"grant_spell","level_gate":5,"value":"darkness"},{"count":1,"grant":{"kind":"spellcasting_ability"},"id":"elf_lineage_spellcasting_ability","kind":"choice","optio…</x:v>
      </x:c>
      <x:c r="J201" s="21" t="str">
        <x:v>verified_mechanical</x:v>
      </x:c>
      <x:c r="K201" s="21" t="str">
        <x:v>Passed</x:v>
      </x:c>
      <x:c r="L201" s="21" t="str">
        <x:v>f8e7549a-fe5c-4347-9d90-a7e27bfe94b9</x:v>
      </x:c>
      <x:c r="M201"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f8e7549a-fe5c-4347-9d90-a7e27bfe94b9.</x:v>
      </x:c>
    </x:row>
    <x:row r="202" ht="48" customHeight="1">
      <x:c r="A202" s="21" t="str">
        <x:v>Эльф</x:v>
      </x:c>
      <x:c r="B202" s="21" t="str">
        <x:v>Высший эльф</x:v>
      </x:c>
      <x:c r="C202" s="21" t="str">
        <x:v>RACE-0004</x:v>
      </x:c>
      <x:c r="D202" s="21" t="str">
        <x:v>sub-high_elf</x:v>
      </x:c>
      <x:c r="E202" s="21" t="str">
        <x:v>5783d111-a00b-405a-8f86-5c0a062f802f</x:v>
      </x:c>
      <x:c r="F202" s="21" t="n">
        <x:v>1</x:v>
      </x:c>
      <x:c r="G202" s="21" t="str">
        <x:v>Species chassis</x:v>
      </x:c>
      <x:c r="H202" s="21" t="str">
        <x:v>Высший эльф</x:v>
      </x:c>
      <x:c r="I202" s="21" t="str">
        <x:v>Creature type Гуманоид; size Средний; speed 30; darkvision —. Высшие эльфы впитали магию перекрёстков между Страной Фей и Материальным планом. В некоторых мирах они называют себя другими именами. Например, в Забытых королевствах они называют себя солнечными или лунными эльфами, они же — Сильванести и Квалинести в сеттинге "Саги о копье" и Эрени в сеттинге "Эберрон".</x:v>
      </x:c>
      <x:c r="J202" s="21" t="str">
        <x:v>verified_partial</x:v>
      </x:c>
      <x:c r="K202" s="21" t="str">
        <x:v>Passed</x:v>
      </x:c>
      <x:c r="L202" s="21" t="str">
        <x:v>7ead921a-632f-4b2a-af08-a9b290bcdf64</x:v>
      </x:c>
      <x:c r="M202"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v>
      </x:c>
    </x:row>
    <x:row r="203" ht="48" customHeight="1">
      <x:c r="A203" s="21" t="str">
        <x:v>Эльф</x:v>
      </x:c>
      <x:c r="B203" s="21" t="str">
        <x:v>Высший эльф</x:v>
      </x:c>
      <x:c r="C203" s="21" t="str">
        <x:v>RACE-0004</x:v>
      </x:c>
      <x:c r="D203" s="21" t="str">
        <x:v>sub-high_elf</x:v>
      </x:c>
      <x:c r="E203" s="21" t="str">
        <x:v>5783d111-a00b-405a-8f86-5c0a062f802f</x:v>
      </x:c>
      <x:c r="F203" s="21" t="n">
        <x:v>1</x:v>
      </x:c>
      <x:c r="G203" s="21" t="str">
        <x:v>Trait</x:v>
      </x:c>
      <x:c r="H203" s="21" t="str">
        <x:v>Врожденное чудотворство</x:v>
      </x:c>
      <x:c r="I203" s="21" t="str">
        <x:v>Вы узнаёте заговор Фокусы. Всякий раз, когда вы завершаете Долгий отдых, вы можете заменить этот заговор на другой заговор из списка заклинаний Волшебника.</x:v>
      </x:c>
      <x:c r="J203" s="21" t="str">
        <x:v>verified_partial</x:v>
      </x:c>
      <x:c r="K203" s="21" t="str">
        <x:v>Passed</x:v>
      </x:c>
      <x:c r="L203" s="21" t="str">
        <x:v>7ead921a-632f-4b2a-af08-a9b290bcdf64</x:v>
      </x:c>
      <x:c r="M203"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v>
      </x:c>
    </x:row>
    <x:row r="204" ht="48" customHeight="1">
      <x:c r="A204" s="21" t="str">
        <x:v>Эльф</x:v>
      </x:c>
      <x:c r="B204" s="21" t="str">
        <x:v>Высший эльф</x:v>
      </x:c>
      <x:c r="C204" s="21" t="str">
        <x:v>RACE-0004</x:v>
      </x:c>
      <x:c r="D204" s="21" t="str">
        <x:v>sub-high_elf</x:v>
      </x:c>
      <x:c r="E204" s="21" t="str">
        <x:v>5783d111-a00b-405a-8f86-5c0a062f802f</x:v>
      </x:c>
      <x:c r="F204" s="21" t="n">
        <x:v>3</x:v>
      </x:c>
      <x:c r="G204" s="21" t="str">
        <x:v>Trait</x:v>
      </x:c>
      <x:c r="H204" s="21" t="str">
        <x:v>Магическое чутьё</x:v>
      </x:c>
      <x:c r="I204" s="21" t="str">
        <x:v>На 3-ем уровне вы узнаете заклинание Обнаружение магии. Вы можете использовать его один раз до Долгого отдыха.</x:v>
      </x:c>
      <x:c r="J204" s="21" t="str">
        <x:v>verified_partial</x:v>
      </x:c>
      <x:c r="K204" s="21" t="str">
        <x:v>Not tested</x:v>
      </x:c>
      <x:c r="L204" s="21" t="str"/>
      <x:c r="M204" s="21" t="str"/>
    </x:row>
    <x:row r="205" ht="48" customHeight="1">
      <x:c r="A205" s="21" t="str">
        <x:v>Эльф</x:v>
      </x:c>
      <x:c r="B205" s="21" t="str">
        <x:v>Высший эльф</x:v>
      </x:c>
      <x:c r="C205" s="21" t="str">
        <x:v>RACE-0004</x:v>
      </x:c>
      <x:c r="D205" s="21" t="str">
        <x:v>sub-high_elf</x:v>
      </x:c>
      <x:c r="E205" s="21" t="str">
        <x:v>5783d111-a00b-405a-8f86-5c0a062f802f</x:v>
      </x:c>
      <x:c r="F205" s="21" t="n">
        <x:v>5</x:v>
      </x:c>
      <x:c r="G205" s="21" t="str">
        <x:v>Trait</x:v>
      </x:c>
      <x:c r="H205" s="21" t="str">
        <x:v>Фейский шаг</x:v>
      </x:c>
      <x:c r="I205" s="21" t="str">
        <x:v>На 5-ом уровне вы узнаете заклинание Туманный шаг. Вы можете использовать его один раз до Долгого отдыха.</x:v>
      </x:c>
      <x:c r="J205" s="21" t="str">
        <x:v>verified_partial</x:v>
      </x:c>
      <x:c r="K205" s="21" t="str">
        <x:v>Not tested</x:v>
      </x:c>
      <x:c r="L205" s="21" t="str"/>
      <x:c r="M205" s="21" t="str"/>
    </x:row>
    <x:row r="206" ht="48" customHeight="1">
      <x:c r="A206" s="21" t="str">
        <x:v>Эльф</x:v>
      </x:c>
      <x:c r="B206" s="21" t="str">
        <x:v>Высший эльф</x:v>
      </x:c>
      <x:c r="C206" s="21" t="str">
        <x:v>RACE-0004</x:v>
      </x:c>
      <x:c r="D206" s="21" t="str">
        <x:v>sub-high_elf</x:v>
      </x:c>
      <x:c r="E206" s="21" t="str">
        <x:v>5783d111-a00b-405a-8f86-5c0a062f802f</x:v>
      </x:c>
      <x:c r="F206" s="21" t="n">
        <x:v>1</x:v>
      </x:c>
      <x:c r="G206" s="21" t="str">
        <x:v>Effect</x:v>
      </x:c>
      <x:c r="H206" s="21" t="str">
        <x:v>Высший эльф</x:v>
      </x:c>
      <x:c r="I206" s="21" t="str">
        <x:v>Вы получаете заговор Фокусы. На 3-ем уровне вы получите заклинание Обнаружение магии. На 5-ом уровне вы получите заклинание Туманный шаг. | Activation: passive | Effects: [{"resolution":"auto","result":[{"ability":"int","kind":"grant_spell","level_gate":1,"value":"prestidigitation"},{"ability":"int","freeuse":{"count":1,"recharge":"long_rest"},"kind":"grant_spell","level_gate":3,"value":"detect_magic"},{"ability":"int","freeuse":{"count":1,"recharge":"long_rest"},"kind":"grant_spell","level_gate":5,"value":"misty_step"},{"count":1,"grant":{"kind":"spellcasting_ability"},"id":"elf_lineage_spellcasting_ability","kind":"choice","options":{"items":[{"id":"int","name":"INT"},{"id":"wis"…</x:v>
      </x:c>
      <x:c r="J206" s="21" t="str">
        <x:v>verified_mechanical</x:v>
      </x:c>
      <x:c r="K206" s="21" t="str">
        <x:v>Passed</x:v>
      </x:c>
      <x:c r="L206" s="21" t="str">
        <x:v>7ead921a-632f-4b2a-af08-a9b290bcdf64</x:v>
      </x:c>
      <x:c r="M206" s="21" t="str">
        <x:v>PASS — production cfc64ca17d88dc6e15717b9e454c9824ac2b055d. Sheet: the species/lineage traits, senses, proficiencies, resistances, and granted-cantrip access are visible with source provenance. Combat/runtime: all non-spell payloads passed the production-derived matrix; granted spell access is present in the hotbar, while cantrip behavior itself is deliberately deferred to the next Spells phase. Result text is readable. Retained character ID(s): 7ead921a-632f-4b2a-af08-a9b290bcdf64.</x:v>
      </x:c>
    </x:row>
    <x:row r="207" ht="48" customHeight="1">
      <x:c r="A207" s="21" t="str">
        <x:v>Эльф</x:v>
      </x:c>
      <x:c r="B207" s="21" t="str">
        <x:v>Лесной эльф</x:v>
      </x:c>
      <x:c r="C207" s="21" t="str">
        <x:v>RACE-0004</x:v>
      </x:c>
      <x:c r="D207" s="21" t="str">
        <x:v>sub-wood_elf</x:v>
      </x:c>
      <x:c r="E207" s="21" t="str">
        <x:v>533bd5b1-a98d-4b51-ba28-c123da0a9c0f</x:v>
      </x:c>
      <x:c r="F207" s="21" t="n">
        <x:v>1</x:v>
      </x:c>
      <x:c r="G207" s="21" t="str">
        <x:v>Species chassis</x:v>
      </x:c>
      <x:c r="H207" s="21" t="str">
        <x:v>Лесной эльф</x:v>
      </x:c>
      <x:c r="I207" s="21" t="str">
        <x:v>Creature type Гуманоид; size Средний; speed 30; darkvision —. Лесные эльфы носят в себе магию первобытных лесов. Их также называют дикими, зелёными или лесными эльфами.</x:v>
      </x:c>
      <x:c r="J207" s="21" t="str">
        <x:v>verified_partial</x:v>
      </x:c>
      <x:c r="K207" s="21" t="str">
        <x:v>Passed</x:v>
      </x:c>
      <x:c r="L207" s="21" t="str">
        <x:v>18cb9b1a-1cf7-436e-960a-9f3a669e4c0d</x:v>
      </x:c>
      <x:c r="M207" s="21" t="str">
        <x:v>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v>
      </x:c>
    </x:row>
    <x:row r="208" ht="48" customHeight="1">
      <x:c r="A208" s="21" t="str">
        <x:v>Эльф</x:v>
      </x:c>
      <x:c r="B208" s="21" t="str">
        <x:v>Лесной эльф</x:v>
      </x:c>
      <x:c r="C208" s="21" t="str">
        <x:v>RACE-0004</x:v>
      </x:c>
      <x:c r="D208" s="21" t="str">
        <x:v>sub-wood_elf</x:v>
      </x:c>
      <x:c r="E208" s="21" t="str">
        <x:v>533bd5b1-a98d-4b51-ba28-c123da0a9c0f</x:v>
      </x:c>
      <x:c r="F208" s="21" t="n">
        <x:v>1</x:v>
      </x:c>
      <x:c r="G208" s="21" t="str">
        <x:v>Trait</x:v>
      </x:c>
      <x:c r="H208" s="21" t="str">
        <x:v>Лесная стремительность</x:v>
      </x:c>
      <x:c r="I208" s="21" t="str">
        <x:v>Ваша скорость передвижения увеличивается до 35 футов. Вы также узнаёте заговор Друидизм.</x:v>
      </x:c>
      <x:c r="J208" s="21" t="str">
        <x:v>verified_partial</x:v>
      </x:c>
      <x:c r="K208" s="21" t="str">
        <x:v>Passed</x:v>
      </x:c>
      <x:c r="L208" s="21" t="str">
        <x:v>18cb9b1a-1cf7-436e-960a-9f3a669e4c0d</x:v>
      </x:c>
      <x:c r="M208" s="21" t="str">
        <x:v>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v>
      </x:c>
    </x:row>
    <x:row r="209" ht="48" customHeight="1">
      <x:c r="A209" s="21" t="str">
        <x:v>Эльф</x:v>
      </x:c>
      <x:c r="B209" s="21" t="str">
        <x:v>Лесной эльф</x:v>
      </x:c>
      <x:c r="C209" s="21" t="str">
        <x:v>RACE-0004</x:v>
      </x:c>
      <x:c r="D209" s="21" t="str">
        <x:v>sub-wood_elf</x:v>
      </x:c>
      <x:c r="E209" s="21" t="str">
        <x:v>533bd5b1-a98d-4b51-ba28-c123da0a9c0f</x:v>
      </x:c>
      <x:c r="F209" s="21" t="n">
        <x:v>3</x:v>
      </x:c>
      <x:c r="G209" s="21" t="str">
        <x:v>Trait</x:v>
      </x:c>
      <x:c r="H209" s="21" t="str">
        <x:v>Скороход</x:v>
      </x:c>
      <x:c r="I209" s="21" t="str">
        <x:v>На 3-ем уровне вы узнаёте заклинание Скороход. Вы можете использовать его один раз до Долгого отдыха.</x:v>
      </x:c>
      <x:c r="J209" s="21" t="str">
        <x:v>verified_partial</x:v>
      </x:c>
      <x:c r="K209" s="21" t="str">
        <x:v>Not tested</x:v>
      </x:c>
      <x:c r="L209" s="21" t="str"/>
      <x:c r="M209" s="21" t="str"/>
    </x:row>
    <x:row r="210" ht="48" customHeight="1">
      <x:c r="A210" s="21" t="str">
        <x:v>Эльф</x:v>
      </x:c>
      <x:c r="B210" s="21" t="str">
        <x:v>Лесной эльф</x:v>
      </x:c>
      <x:c r="C210" s="21" t="str">
        <x:v>RACE-0004</x:v>
      </x:c>
      <x:c r="D210" s="21" t="str">
        <x:v>sub-wood_elf</x:v>
      </x:c>
      <x:c r="E210" s="21" t="str">
        <x:v>533bd5b1-a98d-4b51-ba28-c123da0a9c0f</x:v>
      </x:c>
      <x:c r="F210" s="21" t="n">
        <x:v>5</x:v>
      </x:c>
      <x:c r="G210" s="21" t="str">
        <x:v>Trait</x:v>
      </x:c>
      <x:c r="H210" s="21" t="str">
        <x:v>Бесследное передвижение</x:v>
      </x:c>
      <x:c r="I210" s="21" t="str">
        <x:v>На 5-ом уровне вы узнаёте заклинание Бесследное передвижение. Вы можете использовать его один раз до Долгого отдыха.</x:v>
      </x:c>
      <x:c r="J210" s="21" t="str">
        <x:v>verified_partial</x:v>
      </x:c>
      <x:c r="K210" s="21" t="str">
        <x:v>Not tested</x:v>
      </x:c>
      <x:c r="L210" s="21" t="str"/>
      <x:c r="M210" s="21" t="str"/>
    </x:row>
    <x:row r="211" ht="48" customHeight="1">
      <x:c r="A211" s="21" t="str">
        <x:v>Эльф</x:v>
      </x:c>
      <x:c r="B211" s="21" t="str">
        <x:v>Лесной эльф</x:v>
      </x:c>
      <x:c r="C211" s="21" t="str">
        <x:v>RACE-0004</x:v>
      </x:c>
      <x:c r="D211" s="21" t="str">
        <x:v>sub-wood_elf</x:v>
      </x:c>
      <x:c r="E211" s="21" t="str">
        <x:v>533bd5b1-a98d-4b51-ba28-c123da0a9c0f</x:v>
      </x:c>
      <x:c r="F211" s="21" t="n">
        <x:v>1</x:v>
      </x:c>
      <x:c r="G211" s="21" t="str">
        <x:v>Effect</x:v>
      </x:c>
      <x:c r="H211" s="21" t="str">
        <x:v>Лесной эльф</x:v>
      </x:c>
      <x:c r="I211" s="21" t="str">
        <x:v>Магия подвида лесного эльфа: повышенная скорость и следопытские заклинания. | Activation: passive | Effects: [{"resolution":"auto","result":[{"kind":"grant_speed","mode":"walk","value":"35"},{"ability":"wis","kind":"grant_spell","level_gate":1,"value":"druidcraft"},{"ability":"wis","freeuse":{"count":1,"recharge":"long_rest"},"kind":"grant_spell","level_gate":3,"value":"longstrider"},{"ability":"wis","freeuse":{"count":1,"recharge":"long_rest"},"kind":"grant_spell","level_gate":5,"value":"pass_without_trace"},{"count":1,"grant":{"kind":"spellcasting_ability"},"id":"elf_lineage_spellcasting_ability","kind":"choice","optio…</x:v>
      </x:c>
      <x:c r="J211" s="21" t="str">
        <x:v>verified_mechanical</x:v>
      </x:c>
      <x:c r="K211" s="21" t="str">
        <x:v>Passed</x:v>
      </x:c>
      <x:c r="L211" s="21" t="str">
        <x:v>18cb9b1a-1cf7-436e-960a-9f3a669e4c0d</x:v>
      </x:c>
      <x:c r="M211" s="21" t="str">
        <x:v>PASS — production cfc64ca17d88dc6e15717b9e454c9824ac2b055d. Sheet: Fey Ancestry, Keen Senses provenance, Darkvision, Druidcraft access, and exact Speed 35 are visible; migration 131 corrected the previous additive 65-foot defect. Runtime matrix confirms the non-spell grants. Cantrip mechanics are deferred to the Spells tab. Retained character ID: 18cb9b1a-1cf7-436e-960a-9f3a669e4c0d.</x:v>
      </x:c>
    </x:row>
  </x:sheetData>
  <x:mergeCells>
    <x:mergeCell ref="A1:M1"/>
    <x:mergeCell ref="A2:M2"/>
  </x:mergeCells>
  <x:conditionalFormatting sqref="K6:K211">
    <x:cfRule type="containsText" dxfId="6" priority="1" operator="containsText" text="Passed"/>
    <x:cfRule type="containsText" dxfId="7" priority="2" operator="containsText" text="Failed"/>
    <x:cfRule type="containsText" dxfId="8" priority="3" operator="containsText" text="Blocked"/>
    <x:cfRule type="containsText" dxfId="9" priority="4" operator="containsText" text="Needs retest"/>
    <x:cfRule type="containsText" dxfId="10" priority="5" operator="containsText" text="Out of L1 scope"/>
    <x:cfRule type="containsText" dxfId="11" priority="6" operator="containsText" text="Not tested"/>
  </x:conditionalFormatting>
  <x:dataValidations count="1">
    <x:dataValidation type="list" sqref="K6:K211">
      <x:formula1>"Not tested,Passed,Failed,Blocked,Needs retest,Out of L1 scope"</x:formula1>
    </x:dataValidation>
  </x:dataValidations>
  <x:pageMargins left="0.7" right="0.7" top="0.75" bottom="0.75" header="0.3" footer="0.3"/>
  <x:legacyDrawing xmlns:r="http://schemas.openxmlformats.org/officeDocument/2006/relationships" r:id="Ra7c4927e9359451c"/>
  <x:tableParts count="1">
    <x:tablePart xmlns:r="http://schemas.openxmlformats.org/officeDocument/2006/relationships" r:id="R7df94373312e4a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5" hidden="0" customWidth="1"/>
    <x:col min="3" max="3" width="18" hidden="0" customWidth="1"/>
    <x:col min="4" max="4" width="37" hidden="0" customWidth="1"/>
    <x:col min="5" max="5" width="32" hidden="0" customWidth="1"/>
    <x:col min="6" max="6" width="30" hidden="0" customWidth="1"/>
    <x:col min="7" max="7" width="26" hidden="0" customWidth="1"/>
    <x:col min="8" max="8" width="72" hidden="0" customWidth="1"/>
    <x:col min="9" max="9" width="19" hidden="0" customWidth="1"/>
    <x:col min="10" max="10" width="17" hidden="0" customWidth="1"/>
    <x:col min="11" max="11" width="38" hidden="0" customWidth="1"/>
    <x:col min="12" max="12" width="46" hidden="0" customWidth="1"/>
  </x:cols>
  <x:sheetData>
    <x:row r="1" ht="30" customHeight="1">
      <x:c r="A1" s="4" t="str">
        <x:v>Mini-MVP spells — browser testing checklist</x:v>
      </x:c>
      <x:c r="B1" s="4"/>
      <x:c r="C1" s="4"/>
      <x:c r="D1" s="4"/>
      <x:c r="E1" s="4"/>
      <x:c r="F1" s="4"/>
      <x:c r="G1" s="4"/>
      <x:c r="H1" s="4"/>
      <x:c r="I1" s="4"/>
      <x:c r="J1" s="4"/>
      <x:c r="K1" s="4"/>
      <x:c r="L1" s="4"/>
    </x:row>
    <x:row r="2" ht="34" customHeight="1">
      <x:c r="A2" s="8" t="str">
        <x:v>Exact verified denominator: 35 cantrips and 64 first-level spells. All 99 remain Passed after the data-driven effect and targeting polish on production a79f20b27d6bbc67f0cfd016344ff7ac46ea319d; the live manifest gate is 180/180 approved.</x:v>
      </x:c>
      <x:c r="B2" s="8"/>
      <x:c r="C2" s="8"/>
      <x:c r="D2" s="8"/>
      <x:c r="E2" s="8"/>
      <x:c r="F2" s="8"/>
      <x:c r="G2" s="8"/>
      <x:c r="H2" s="8"/>
      <x:c r="I2" s="8"/>
      <x:c r="J2" s="8"/>
      <x:c r="K2" s="8"/>
      <x:c r="L2" s="8"/>
    </x:row>
    <x:row r="3">
      <x:c r="A3" s="11" t="str">
        <x:v>Rows</x:v>
      </x:c>
      <x:c r="B3" s="11" t="n">
        <x:v>99</x:v>
      </x:c>
      <x:c r="C3" s="11" t="str">
        <x:v>Passed</x:v>
      </x:c>
      <x:c r="D3" s="11" t="n">
        <x:v>99</x:v>
      </x:c>
      <x:c r="E3" s="11" t="str">
        <x:v>Failed</x:v>
      </x:c>
      <x:c r="F3" s="11" t="n">
        <x:v>0</x:v>
      </x:c>
      <x:c r="G3" s="11" t="str">
        <x:v>Blocked</x:v>
      </x:c>
      <x:c r="H3" s="11" t="n">
        <x:v>0</x:v>
      </x:c>
      <x:c r="I3" s="11" t="str">
        <x:v>Not tested</x:v>
      </x:c>
      <x:c r="J3" s="11" t="n">
        <x:v>0</x:v>
      </x:c>
    </x:row>
    <x:row r="5" ht="34" customHeight="1">
      <x:c r="A5" s="17" t="str">
        <x:v>Level</x:v>
      </x:c>
      <x:c r="B5" s="17" t="str">
        <x:v>Spell</x:v>
      </x:c>
      <x:c r="C5" s="17" t="str">
        <x:v>Card</x:v>
      </x:c>
      <x:c r="D5" s="17" t="str">
        <x:v>Entity ID</x:v>
      </x:c>
      <x:c r="E5" s="17" t="str">
        <x:v>Declared classes</x:v>
      </x:c>
      <x:c r="F5" s="17" t="str">
        <x:v>Activation / trigger</x:v>
      </x:c>
      <x:c r="G5" s="17" t="str">
        <x:v>Resource cost</x:v>
      </x:c>
      <x:c r="H5" s="17" t="str">
        <x:v>Expected behavior / targeting / effects</x:v>
      </x:c>
      <x:c r="I5" s="17" t="str">
        <x:v>Catalog support</x:v>
      </x:c>
      <x:c r="J5" s="17" t="str">
        <x:v>Manual status</x:v>
      </x:c>
      <x:c r="K5" s="17" t="str">
        <x:v>Character ID(s)</x:v>
      </x:c>
      <x:c r="L5" s="17" t="str">
        <x:v>Test notes</x:v>
      </x:c>
    </x:row>
    <x:row r="6" ht="48" customHeight="1">
      <x:c r="A6" s="21" t="n">
        <x:v>0</x:v>
      </x:c>
      <x:c r="B6" s="21" t="str">
        <x:v>Брызги кислоты</x:v>
      </x:c>
      <x:c r="C6" s="21" t="str">
        <x:v>SPELL-0166</x:v>
      </x:c>
      <x:c r="D6" s="21" t="str">
        <x:v>3b0ac4ac-73bb-4525-83fa-9f4a9a14c430</x:v>
      </x:c>
      <x:c r="E6" s="21" t="str">
        <x:v>Чародей, Волшебник</x:v>
      </x:c>
      <x:c r="F6" s="21" t="str">
        <x:v>Действие; active</x:v>
      </x:c>
      <x:c r="G6" s="21" t="str">
        <x:v>[{"resource":"action"}]</x:v>
      </x:c>
      <x:c r="H6" s="21" t="str">
        <x:v>Вы создаёте кислотный пузырь, который взрывается Сферой радиусом 5 футов, с центром в точке в пределах дистанции. Каждое существо в этой Сфере должно преуспеть в спасброске Ловкости, иначе получит [acid]1к6:acid:кислотой[/acid]. | Activation: active; cost action | Targeting: {"filter":"any","range":"60 футов","shape":"single"} | Effects: [{"ability":"dex","dc":"8 + prof + spellcasting","on_fail":[{"dice":"1d6","kind":"damage","scaling":{"dice":"1d6","per":"character_level"},"type":"acid"}],"on_success":[],"resolution":"save","who":"target"}]</x:v>
      </x:c>
      <x:c r="I6" s="21" t="str">
        <x:v>verified_mechanical</x:v>
      </x:c>
      <x:c r="J6" s="42" t="str">
        <x:v>Passed</x:v>
      </x:c>
      <x:c r="K6" s="21" t="str">
        <x:v>89f8fefe-acf2-45bc-86e1-960d8cb49188; 6b474575-3eae-46b4-815f-d27ee696cf9c; 40036872-9c1e-4c88-aa61-73cc2bc046e5</x:v>
      </x:c>
      <x:c r="L6" s="21" t="str">
        <x:v>PASS — production d9be461f60175e9660c168860cfbad2408d78c60. Sheet/combat/clarity PASS: Dexterity save, acid damage, resource spend and target-owned save result were observed; the area boundary is explicitly certified partial and does not overclaim automatic map discovery. Three dimensions confirmed: sheet/world usage where relevant, combat usage where relevant, and user-visible result clarity. Manual certificate: mini-mvp-cantrips-manual-v1.
POLISH PASS — production a79f20b27d6bbc67f0cfd016344ff7ac46ea319d. The card and combat resolver now agree: 60-foot range, player-selected center, 5-foot sphere, and Dexterity saves for every creature in the area. The combat result names targets, saves, damage and resource spend; it no longer presents a misleading single-creature contract. Character ID: 40036872-9c1e-4c88-aa61-73cc2bc046e5.</x:v>
      </x:c>
    </x:row>
    <x:row r="7" ht="48" customHeight="1">
      <x:c r="A7" s="21" t="n">
        <x:v>0</x:v>
      </x:c>
      <x:c r="B7" s="21" t="str">
        <x:v>Волшебная рука</x:v>
      </x:c>
      <x:c r="C7" s="21" t="str">
        <x:v>SPELL-0173</x:v>
      </x:c>
      <x:c r="D7" s="21" t="str">
        <x:v>70e35366-5446-49ff-b0b9-759dbbff347e</x:v>
      </x:c>
      <x:c r="E7" s="21" t="str">
        <x:v>Бард, Чародей, Колдун, Волшебник</x:v>
      </x:c>
      <x:c r="F7" s="21" t="str">
        <x:v>Действие; active</x:v>
      </x:c>
      <x:c r="G7" s="21" t="str">
        <x:v>[{"resource":"action"}]</x:v>
      </x:c>
      <x:c r="H7" s="21" t="str">
        <x:v>В точке, выбранной вами в пределах дистанции, появляется призрачная парящая рука. Рука существует, пока заклинание активно. Рука исчезает, если окажется более чем в 30 футах от вас, или если вы повторно сотворите это заклинание. Вы можете использовать эту руку для манипулирования объектами, открывать незапертые двери и контейнеры, убрать предметы в открытые контейнеры или доставать их оттуда, или выливать содержимое флаконов. Действием Магия в течение следующих ходов вы можете контролировать руку таким же образом. Частью этого действия вы можете перемещать руку на расстояние не более 30 футов. Рука не может атаковать, активировать магические предметы и переносить более 10 фунтов. | Activation: active; cost action | Targeting: {"actor_targets":false,"allowed_relations":["self"],"domain":"actor","max_targets":1,"min_targets":0,"range_ft":0,"requires_line_of_sight":false,"shape":"self"} | …</x:v>
      </x:c>
      <x:c r="I7" s="21" t="str">
        <x:v>verified_narrative</x:v>
      </x:c>
      <x:c r="J7" s="42" t="str">
        <x:v>Passed</x:v>
      </x:c>
      <x:c r="K7" s="21" t="str">
        <x:v>89f8fefe-acf2-45bc-86e1-960d8cb49188; f8e7549a-fe5c-4347-9d90-a7e27bfe94b9</x:v>
      </x:c>
      <x:c r="L7" s="21" t="str">
        <x:v>PASS — production d9be461f60175e9660c168860cfbad2408d78c60. Sheet/combat/clarity PASS: slot-free cast creates a 10-round hand; the follow-up control moved a named 5-lb lever 5 ft. Source, duration, control action and localized object operation are visible and persist. Three dimensions confirmed: sheet/world usage where relevant, combat usage where relevant, and user-visible result clarity. Manual certificate: mini-mvp-cantrips-manual-v1.</x:v>
      </x:c>
    </x:row>
    <x:row r="8" ht="48" customHeight="1">
      <x:c r="A8" s="21" t="n">
        <x:v>0</x:v>
      </x:c>
      <x:c r="B8" s="21" t="str">
        <x:v>Дружба</x:v>
      </x:c>
      <x:c r="C8" s="21" t="str">
        <x:v>SPELL-0192</x:v>
      </x:c>
      <x:c r="D8" s="21" t="str">
        <x:v>5da8fe39-f54d-4ffb-a958-4ed6d9cafaa2</x:v>
      </x:c>
      <x:c r="E8" s="21" t="str">
        <x:v>Бард, Чародей, Колдун, Волшебник</x:v>
      </x:c>
      <x:c r="F8" s="21" t="str">
        <x:v>Действие; active</x:v>
      </x:c>
      <x:c r="G8" s="21" t="str">
        <x:v>[{"resource":"action"}]</x:v>
      </x:c>
      <x:c r="H8" s="21" t="str">
        <x:v>Вы волшебным образом излучаете чувство дружбы по отношению к одному существу, которое вы можете видеть в пределах дистанции. Цель должна преуспеть в спасброске Мудрости, иначе станет [[Очарованной|effect:ed7cc8d3-1af0-4af7-af13-046341f21491]] на время длительности. Цель автоматически преуспевает, если не является Гуманоидом, если вы сражаетесь с ней, или если вы сотворяли это заклинание на неё за последние 24 часа. Заклинание заканчивается досрочно, если цель получает урон, или если вы совершаете бросок атаки, наносите урон или вынуждаете кого‑либо совершить спасбросок. Когда заклинание заканчивается, цель знает, что была [[Очарованной|effect:ed7cc8d3-1af0-4af7-af13-046341f21491]] вами. | Activation: active; cost action | Targeting: {"filter":"any","range":"10 футов","shape":"single"} | Effects: [{"ability":"wis","dc":"8 + prof + spellcasting","on_fail":[{"duration":{"amount":10,"type":…</x:v>
      </x:c>
      <x:c r="I8" s="21" t="str">
        <x:v>verified_partial</x:v>
      </x:c>
      <x:c r="J8" s="42" t="str">
        <x:v>Passed</x:v>
      </x:c>
      <x:c r="K8" s="21" t="str">
        <x:v>89f8fefe-acf2-45bc-86e1-960d8cb49188; 6b474575-3eae-46b4-815f-d27ee696cf9c</x:v>
      </x:c>
      <x:c r="L8" s="21" t="str">
        <x:v>PASS — production d9be461f60175e9660c168860cfbad2408d78c60. Sheet/combat/clarity PASS within the declared partial boundary: failed Wisdom save applies Charmed and concentration; the target inspector identifies the effect. Creature type, 24-hour repeat immunity and hostility lifecycle remain explicit GM limitations. Three dimensions confirmed: sheet/world usage where relevant, combat usage where relevant, and user-visible result clarity. Manual certificate: mini-mvp-cantrips-manual-v1.</x:v>
      </x:c>
    </x:row>
    <x:row r="9" ht="48" customHeight="1">
      <x:c r="A9" s="21" t="n">
        <x:v>0</x:v>
      </x:c>
      <x:c r="B9" s="21" t="str">
        <x:v>Дубинка</x:v>
      </x:c>
      <x:c r="C9" s="21" t="str">
        <x:v>SPELL-0194</x:v>
      </x:c>
      <x:c r="D9" s="21" t="str">
        <x:v>d3a05e09-7f80-44ea-be21-dfdd3408d528</x:v>
      </x:c>
      <x:c r="E9" s="21" t="str">
        <x:v>Друид</x:v>
      </x:c>
      <x:c r="F9" s="21" t="str">
        <x:v>Бонусное действие; active</x:v>
      </x:c>
      <x:c r="G9" s="21" t="str">
        <x:v>[{"resource":"bonus_action"}]</x:v>
      </x:c>
      <x:c r="H9" s="21" t="str">
        <x:v>Дубинка или Боевой посох, который вы держите, наполняется силой природы. Пока заклинание активно, вы можете использовать свою заклинательную характеристику вместо Силы для бросков атаки и урона рукопашных атак этим оружием, а кость урона этого оружия заменяется на к8. Если эта атака наносит урон, то это может быть урон [force]:force:Чистой силой[/force] или обычный тип урона от этого оружия (по вашему выбору). Заклинание заканчивается, если вы сотворите его снова или выпустите это оружие из рук. | Activation: active; cost bonus_action | Targeting: {"actor_targets":false,"allowed_relations":["self"],"domain":"actor","max_targets":1,"min_targets":0,"range_ft":0,"requires_line_of_sight":false,"shape":"self"} | Effects: [{"context":"in_play","count":1,"id":"shillelagh_weapon","kind":"choice","options":{"filter":["club","quarterstaff"],"source":"equipped_weapon"},"prompt":"Выберите удерживае…</x:v>
      </x:c>
      <x:c r="I9" s="21" t="str">
        <x:v>verified_narrative</x:v>
      </x:c>
      <x:c r="J9" s="42" t="str">
        <x:v>Passed</x:v>
      </x:c>
      <x:c r="K9" s="21" t="str">
        <x:v>8d297016-ce08-4ca7-8125-2287f439c514</x:v>
      </x:c>
      <x:c r="L9" s="21" t="str">
        <x:v>PASS — production d9be461f60175e9660c168860cfbad2408d78c60. Sheet/combat/clarity PASS within the declared partial boundary: an equipped quarterstaff can be selected, bonus action is spent, spellcasting ability/d8 profile and force-or-normal choice are visible. Releasing the weapon remains an explicit limitation. Three dimensions confirmed: sheet/world usage where relevant, combat usage where relevant, and user-visible result clarity. Manual certificate: mini-mvp-cantrips-manual-v1.</x:v>
      </x:c>
    </x:row>
    <x:row r="10" ht="48" customHeight="1">
      <x:c r="A10" s="21" t="n">
        <x:v>0</x:v>
      </x:c>
      <x:c r="B10" s="21" t="str">
        <x:v>Защита от оружия</x:v>
      </x:c>
      <x:c r="C10" s="21" t="str">
        <x:v>SPELL-0202</x:v>
      </x:c>
      <x:c r="D10" s="21" t="str">
        <x:v>73d4195c-5da4-444d-a0c1-19572df641b2</x:v>
      </x:c>
      <x:c r="E10" s="21" t="str">
        <x:v>Бард, Чародей, Колдун, Волшебник</x:v>
      </x:c>
      <x:c r="F10" s="21" t="str">
        <x:v>Действие; active</x:v>
      </x:c>
      <x:c r="G10" s="21" t="str">
        <x:v>[{"resource":"action"}]</x:v>
      </x:c>
      <x:c r="H10" s="21" t="str">
        <x:v>Когда существо совершает бросок атаки по вам до окончания действия заклинания, атакующий вычитает 1к4 из броска атаки. | Activation: active; cost action | Targeting: {"shape":"self"} | Effects: [{"resolution":"auto","result":[{"applies_to":{"roll":"attack"},"duration":{"amount":10,"concentration":true,"type":"rounds"},"faces":4,"kind":"modifier","op":"bonus_die","scope":"target","sign":-1,"source":"Защита от оружия"}]}]</x:v>
      </x:c>
      <x:c r="I10" s="21" t="str">
        <x:v>verified_mechanical</x:v>
      </x:c>
      <x:c r="J10" s="42" t="str">
        <x:v>Passed</x:v>
      </x:c>
      <x:c r="K10" s="21" t="str">
        <x:v>89f8fefe-acf2-45bc-86e1-960d8cb49188</x:v>
      </x:c>
      <x:c r="L10" s="21" t="str">
        <x:v>PASS — production d9be461f60175e9660c168860cfbad2408d78c60. Sheet/combat/clarity PASS: self cast spends one Action, starts concentration and exposes the attacker −1d4 rule and duration in the effect guidance; focused combat rules coverage confirms the modifier. Three dimensions confirmed: sheet/world usage where relevant, combat usage where relevant, and user-visible result clarity. Manual certificate: mini-mvp-cantrips-manual-v1.</x:v>
      </x:c>
    </x:row>
    <x:row r="11" ht="48" customHeight="1">
      <x:c r="A11" s="21" t="n">
        <x:v>0</x:v>
      </x:c>
      <x:c r="B11" s="21" t="str">
        <x:v>Звёздный светлячок</x:v>
      </x:c>
      <x:c r="C11" s="21" t="str">
        <x:v>SPELL-0204</x:v>
      </x:c>
      <x:c r="D11" s="21" t="str">
        <x:v>7f7d92ed-0d5c-4567-990b-3395247b9266</x:v>
      </x:c>
      <x:c r="E11" s="21" t="str">
        <x:v>Бард, Друид</x:v>
      </x:c>
      <x:c r="F11" s="21" t="str">
        <x:v>Действие; active</x:v>
      </x:c>
      <x:c r="G11" s="21" t="str">
        <x:v>[{"resource":"action"}]</x:v>
      </x:c>
      <x:c r="H11" s="21" t="str">
        <x:v>Вы запускаете частицу света в одно существо или объект в пределах дистанции. Совершите Дальнобойную атаку заклинанием по цели. При попадании цель получает [radiant]1к8:radiant:излучением[/radiant], и до конца вашего следующего хода испускает Тусклый свет в пределах 10 футов и не получает преимуществ от состояния [[Невидимый|effect:a33608fe-4378-465d-a81a-85920104ffc4]]. | Activation: active; cost action | Targeting: {"filter":"any","range":"60 футов","shape":"single"} | Effects: [{"ability":"spellcasting","attack_kind":"spell_ranged","on_hit":[{"dice":"1d8","kind":"damage","scaling":{"dice":"1d8","per":"character_level"},"type":"radiant"}],"resolution":"attack_roll","vs":"ac"}]</x:v>
      </x:c>
      <x:c r="I11" s="21" t="str">
        <x:v>verified_partial</x:v>
      </x:c>
      <x:c r="J11" s="42" t="str">
        <x:v>Passed</x:v>
      </x:c>
      <x:c r="K11" s="21" t="str">
        <x:v>648f0bc8-fd24-4916-ad31-24bd4075ea4d</x:v>
      </x:c>
      <x:c r="L11" s="21" t="str">
        <x:v>PASS — production d9be461f60175e9660c168860cfbad2408d78c60. Sheet/combat/clarity PASS on clean Forge Bard: ranged spell hit, radiant damage and Action spend completed. Light/invisibility benefit is explicit in the card/journal and remains a declared map-lighting limitation. Retained scene owner: 420d2fbf-ce7b-490d-9f79-34fd209b8d1c. Three dimensions confirmed: sheet/world usage where relevant, combat usage where relevant, and user-visible result clarity. Manual certificate: mini-mvp-cantrips-manual-v1.</x:v>
      </x:c>
    </x:row>
    <x:row r="12" ht="48" customHeight="1">
      <x:c r="A12" s="21" t="n">
        <x:v>0</x:v>
      </x:c>
      <x:c r="B12" s="21" t="str">
        <x:v>Злая насмешка</x:v>
      </x:c>
      <x:c r="C12" s="21" t="str">
        <x:v>SPELL-0205</x:v>
      </x:c>
      <x:c r="D12" s="21" t="str">
        <x:v>bdeda1c3-6574-4946-8b91-5faf0f76072c</x:v>
      </x:c>
      <x:c r="E12" s="21" t="str">
        <x:v>Бард</x:v>
      </x:c>
      <x:c r="F12" s="21" t="str">
        <x:v>Действие; active</x:v>
      </x:c>
      <x:c r="G12" s="21" t="str">
        <x:v>[{"resource":"action"}]</x:v>
      </x:c>
      <x:c r="H12" s="21" t="str">
        <x:v>Вы испускаете на существо, которое вы можете видеть или слышать в пределах дистанции, поток оскорблений вперемешку с тонкой магией. Цель должна преуспеть в спасброске Мудрости, иначе получит [psychic]1к6:psychic:психической энергией[/psychic] и совершит с Помехой следующий бросок атаки до конца своего следующего хода. | Activation: active; cost action | Targeting: {"filter":"any","range":"60 футов","shape":"single"} | Effects: [{"ability":"wis","dc":"8 + prof + spellcasting","on_fail":[{"dice":"1d6","kind":"damage","scaling":{"dice":"1d6","per":"character_level"},"type":"psychic"},{"description":"Цель совершает с Помехой следующий бросок атаки до конца своего следующего хода.","kind":"narrative"}],"on_success":[],"resolution":"save","who":"target"}]</x:v>
      </x:c>
      <x:c r="I12" s="21" t="str">
        <x:v>verified_mechanical</x:v>
      </x:c>
      <x:c r="J12" s="42" t="str">
        <x:v>Passed</x:v>
      </x:c>
      <x:c r="K12" s="21" t="str">
        <x:v>648f0bc8-fd24-4916-ad31-24bd4075ea4d</x:v>
      </x:c>
      <x:c r="L12" s="21" t="str">
        <x:v>PASS — production d9be461f60175e9660c168860cfbad2408d78c60. Sheet/combat/clarity PASS on clean Forge Bard: failed Wisdom save dealt psychic damage and applied the next-attack disadvantage. Target guidance now explains both the penalty and one-use consumption. Retained scene owner: 420d2fbf-ce7b-490d-9f79-34fd209b8d1c. Three dimensions confirmed: sheet/world usage where relevant, combat usage where relevant, and user-visible result clarity. Manual certificate: mini-mvp-cantrips-manual-v1.</x:v>
      </x:c>
    </x:row>
    <x:row r="13" ht="48" customHeight="1">
      <x:c r="A13" s="21" t="n">
        <x:v>0</x:v>
      </x:c>
      <x:c r="B13" s="21" t="str">
        <x:v>Искусство друидов</x:v>
      </x:c>
      <x:c r="C13" s="21" t="str">
        <x:v>druidcraft</x:v>
      </x:c>
      <x:c r="D13" s="21" t="str">
        <x:v>3c68b9a7-d143-4b39-b06c-3d78e3276117</x:v>
      </x:c>
      <x:c r="E13" s="21" t="str">
        <x:v>Друид</x:v>
      </x:c>
      <x:c r="F13" s="21" t="str">
        <x:v>Действие; active</x:v>
      </x:c>
      <x:c r="G13" s="21" t="str">
        <x:v>[{"resource":"action"}]</x:v>
      </x:c>
      <x:c r="H13" s="21" t="str">
        <x:v>Пошептавшись с духами природы, вы создаёте один из нижеперечисленных эффектов в пределах дистанции. Датчик погоды. Вы создаёте Крошечный безвредный ощутимый эффект, предсказывающий погоду в текущем месте в течение следующих 24 часов. Это может быть золотистый шарик, означающий ясную погоду, облачко, означающее дождь, снежинка и так далее. Эффект длится 1 раунд. Цветение. Вы мгновенно заставляете цветок распуститься, семечко прорасти или почку раскрыться. Ощутимый эффект. Вы создаёте мгновенный безвредный ощутимый эффект, такой как падающие листья, спектральные танцующие феи, порыв ветра, звук маленького животного или слабый запах скунса. Эффект должен помещаться в Куб со стороной 5 футов. Игра с огнём. Вы зажигаете или тушите свечу, факел или костёр. | Activation: active; cost action | Targeting: {"actor_targets":false,"allowed_relations":[],"domain":"world","filter":"any","max_targets"…</x:v>
      </x:c>
      <x:c r="I13" s="21" t="str">
        <x:v>verified_partial</x:v>
      </x:c>
      <x:c r="J13" s="42" t="str">
        <x:v>Passed</x:v>
      </x:c>
      <x:c r="K13" s="21" t="str">
        <x:v>8d297016-ce08-4ca7-8125-2287f439c514</x:v>
      </x:c>
      <x:c r="L13" s="21" t="str">
        <x:v>PASS — production d9be461f60175e9660c168860cfbad2408d78c60. Sheet/world-scene/clarity PASS: the weather option spends one Action and creates the supplied forecast with a localized Russian label; other typed plant, sensory and fire options are covered by the shared world primitive. Actor combat targeting is not relevant. Three dimensions confirmed: sheet/world usage where relevant, combat usage where relevant, and user-visible result clarity. Manual certificate: mini-mvp-cantrips-manual-v1.</x:v>
      </x:c>
    </x:row>
    <x:row r="14" ht="48" customHeight="1">
      <x:c r="A14" s="21" t="n">
        <x:v>0</x:v>
      </x:c>
      <x:c r="B14" s="21" t="str">
        <x:v>Леденящее прикосновение</x:v>
      </x:c>
      <x:c r="C14" s="21" t="str">
        <x:v>chill_touch</x:v>
      </x:c>
      <x:c r="D14" s="21" t="str">
        <x:v>e300a1f2-91ae-4c82-9904-057f93a013ba</x:v>
      </x:c>
      <x:c r="E14" s="21" t="str">
        <x:v>Чародей, Колдун, Волшебник</x:v>
      </x:c>
      <x:c r="F14" s="21" t="str">
        <x:v>Действие; active</x:v>
      </x:c>
      <x:c r="G14" s="21" t="str">
        <x:v>[{"resource":"action"}]</x:v>
      </x:c>
      <x:c r="H14" s="21" t="str">
        <x:v>Проводя могильный холод через себя, совершите рукопашную атаку заклинанием по цели в пределах досягаемости. При попадании цель получает [necrotic]1к10:necrotic:некротической энергией[/necrotic] и не может восстанавливать Хиты до конца вашего следующего хода. | Activation: active; cost action | Targeting: {"actor_targets":true,"allowed_relations":["self","ally","enemy","neutral"],"domain":"actor","filter":"any","max_targets":1,"min_targets":1,"range":"Касание","range_ft":5,"requires_line_of_sight":false,"requires_touch":true,"shape":"single"} | Effects: [{"ability":"spellcasting","attack_kind":"spell_melee","on_hit":[{"dice":"1d10","kind":"damage","scaling":{"dice":"1d10","per":"character_level"},"type":"necrotic"},{"applies_to":{"roll":"healing"},"duration":{"type":"until_end_of_source_next_turn"},"kind":"modifier","op":"deny"}],"resolution":"attack_roll","vs":"ac"}]</x:v>
      </x:c>
      <x:c r="I14" s="21" t="str">
        <x:v>verified_mechanical</x:v>
      </x:c>
      <x:c r="J14" s="42" t="str">
        <x:v>Passed</x:v>
      </x:c>
      <x:c r="K14" s="21" t="str">
        <x:v>3fa1addc-b61f-46fd-a8af-7d6a114edce2; 6b474575-3eae-46b4-815f-d27ee696cf9c</x:v>
      </x:c>
      <x:c r="L14" s="21" t="str">
        <x:v>PASS — production d9be461f60175e9660c168860cfbad2408d78c60. Sheet/combat/clarity PASS: melee spell hit, necrotic damage and anti-healing effect execute; target inspection explains the healing ban and duration. Clean Warlock is retained in scene 420d2fbf-ce7b-490d-9f79-34fd209b8d1c. Three dimensions confirmed: sheet/world usage where relevant, combat usage where relevant, and user-visible result clarity. Manual certificate: mini-mvp-cantrips-manual-v1.</x:v>
      </x:c>
    </x:row>
    <x:row r="15" ht="48" customHeight="1">
      <x:c r="A15" s="21" t="n">
        <x:v>0</x:v>
      </x:c>
      <x:c r="B15" s="21" t="str">
        <x:v>Луч холода</x:v>
      </x:c>
      <x:c r="C15" s="21" t="str">
        <x:v>SPELL-0218</x:v>
      </x:c>
      <x:c r="D15" s="21" t="str">
        <x:v>ebe432dd-c124-4f79-a39b-db14ca2ed741</x:v>
      </x:c>
      <x:c r="E15" s="21" t="str">
        <x:v>Чародей, Волшебник</x:v>
      </x:c>
      <x:c r="F15" s="21" t="str">
        <x:v>Действие; active</x:v>
      </x:c>
      <x:c r="G15" s="21" t="str">
        <x:v>[{"resource":"action"}]</x:v>
      </x:c>
      <x:c r="H15" s="21" t="str">
        <x:v>Холодный сине-белый луч устремляется к существу, находящемуся в пределах дистанции. Совершите Дальнобойную атаку заклинанием по цели. При попадании цель получает [cold]1к8:cold:холодом[/cold], а её Скорость уменьшается на 10 футов до начала вашего следующего хода. | Activation: active; cost action | Targeting: {"actor_targets":true,"allowed_relations":["self","ally","enemy","neutral"],"domain":"actor","filter":"any","max_targets":1,"min_targets":1,"range":"60 футов","range_ft":60,"requires_line_of_sight":true,"shape":"single"} | Effects: [{"ability":"spellcasting","attack_kind":"spell_ranged","on_hit":[{"dice":"1d8","kind":"damage","scaling":{"dice":"1d8","per":"character_level"},"type":"cold"},{"applies_to":{"roll":"speed"},"duration":{"type":"until_start_of_source_next_turn"},"kind":"modifier","op":"add","value":"-10"}],"resolution":"attack_roll","vs":"ac"}]</x:v>
      </x:c>
      <x:c r="I15" s="21" t="str">
        <x:v>verified_mechanical</x:v>
      </x:c>
      <x:c r="J15" s="42" t="str">
        <x:v>Passed</x:v>
      </x:c>
      <x:c r="K15" s="21" t="str">
        <x:v>420d2fbf-ce7b-490d-9f79-34fd209b8d1c; 6b474575-3eae-46b4-815f-d27ee696cf9c; 467b52d2-3982-4c32-bbfa-f39cce69bcf0</x:v>
      </x:c>
      <x:c r="L15" s="21" t="str">
        <x:v>PASS — production d9be461f60175e9660c168860cfbad2408d78c60. Sheet/combat/clarity PASS: ranged hit deals cold damage and applies Speed −10 ft; target inspection shows source, amount and expiry. Clean Sorcerer is the retained scene owner 420d2fbf-ce7b-490d-9f79-34fd209b8d1c. Three dimensions confirmed: sheet/world usage where relevant, combat usage where relevant, and user-visible result clarity. Manual certificate: mini-mvp-cantrips-manual-v1.
POLISH PASS — production a79f20b27d6bbc67f0cfd016344ff7ac46ea319d. A spell added through “+ Добавить” remained available/prepared on a Fighter and cast without a slot. A hit applied the real library effect “Луч холода — Скорость снижена на 10 футов”; the Wolf inspector showed speed 30, base 40, the effect image/source, and “Скорость: −10 фт.” Clicking the icon opened the explanatory effect card. Character ID: 467b52d2-3982-4c32-bbfa-f39cce69bcf0.</x:v>
      </x:c>
    </x:row>
    <x:row r="16" ht="48" customHeight="1">
      <x:c r="A16" s="21" t="n">
        <x:v>0</x:v>
      </x:c>
      <x:c r="B16" s="21" t="str">
        <x:v>Малая иллюзия</x:v>
      </x:c>
      <x:c r="C16" s="21" t="str">
        <x:v>minor_illusion</x:v>
      </x:c>
      <x:c r="D16" s="21" t="str">
        <x:v>dc59ce91-4e89-4f1d-89a5-e25650f3a6b7</x:v>
      </x:c>
      <x:c r="E16" s="21" t="str">
        <x:v>Бард, Чародей, Колдун, Волшебник</x:v>
      </x:c>
      <x:c r="F16" s="21" t="str">
        <x:v>Действие; active</x:v>
      </x:c>
      <x:c r="G16" s="21" t="str">
        <x:v>[{"resource":"action"}]</x:v>
      </x:c>
      <x:c r="H16" s="21" t="str">
        <x:v>Вы создаёте звук или изображение объекта в пределах дистанции на время действия заклинания. Звук может быть любым — от шёпота до крика; изображение — неподвижный объект не больше Куба со стороной 5 футов, без звука, света и запаха. Действием Изучение (проверка Интеллекта против СЛ ваших заклинаний) существо может распознать иллюзию; сквозь образ всё проходит, что также выдаёт обман. | Activation: active; cost action | Targeting: {"actor_targets":false,"allowed_relations":[],"domain":"world","filter":"any","max_targets":1,"min_targets":0,"range":"30 футов","range_ft":30,"requires_line_of_sight":false,"shape":"single"} | Effects: [{"resolution":"auto","result":[{"description":"Малая иллюзия: см. описание заклинания.","kind":"narrative"}]}]</x:v>
      </x:c>
      <x:c r="I16" s="21" t="str">
        <x:v>verified_partial</x:v>
      </x:c>
      <x:c r="J16" s="42" t="str">
        <x:v>Passed</x:v>
      </x:c>
      <x:c r="K16" s="21" t="str">
        <x:v>89f8fefe-acf2-45bc-86e1-960d8cb49188</x:v>
      </x:c>
      <x:c r="L16" s="21" t="str">
        <x:v>PASS — production d9be461f60175e9660c168860cfbad2408d78c60. Sheet/combat/clarity PASS: sound/image choice creates a 10-round world object with supplied description, Investigation DC and physical-interaction guidance; map label and journal persist after reload. Three dimensions confirmed: sheet/world usage where relevant, combat usage where relevant, and user-visible result clarity. Manual certificate: mini-mvp-cantrips-manual-v1.</x:v>
      </x:c>
    </x:row>
    <x:row r="17" ht="48" customHeight="1">
      <x:c r="A17" s="21" t="n">
        <x:v>0</x:v>
      </x:c>
      <x:c r="B17" s="21" t="str">
        <x:v>Меткий удар</x:v>
      </x:c>
      <x:c r="C17" s="21" t="str">
        <x:v>SPELL-0224</x:v>
      </x:c>
      <x:c r="D17" s="21" t="str">
        <x:v>f5d4b18f-6212-47e7-ae0b-8dda2f84d4c2</x:v>
      </x:c>
      <x:c r="E17" s="21" t="str">
        <x:v>Бард, Чародей, Колдун, Волшебник</x:v>
      </x:c>
      <x:c r="F17" s="21" t="str">
        <x:v>Действие; active</x:v>
      </x:c>
      <x:c r="G17" s="21" t="str">
        <x:v>[{"resource":"action"}]</x:v>
      </x:c>
      <x:c r="H17" s="21" t="str">
        <x:v>Руководствуясь вспышкой магической проницательности, вы совершаете одну атаку оружием, использованным при сотворении заклинания. Атака использует вашу заклинательную характеристику вместо Силы или Ловкости для бросков атаки и урона. Если атака наносит урон, это может быть урон [radiant]:radiant:Излучением [/radiant]или обычный урон от атаки этим оружием (по вашему выбору). | Activation: active; cost action | Targeting: {"shape":"self"} | Effects: [{"ability":"spellcasting","attack_kind":"weapon_melee","on_hit":[{"context":"in_play","count":1,"id":"true_strike_damage_type","kind":"choice","options":{"items":[{"grants":[{"ability":"spellcasting","dice":"weapon","kind":"damage","type":"weapon"},{"dice":"0","kind":"damage","scaling":{"dice":"1d6","per":"character_level"},"type":"radiant"}],"id":"weapon","name":"Обычный тип оружия"},{"grants":[{"ability":"spellcasting","dice":"weapon","kind"…</x:v>
      </x:c>
      <x:c r="I17" s="21" t="str">
        <x:v>verified_mechanical</x:v>
      </x:c>
      <x:c r="J17" s="42" t="str">
        <x:v>Passed</x:v>
      </x:c>
      <x:c r="K17" s="21" t="str">
        <x:v>89f8fefe-acf2-45bc-86e1-960d8cb49188; 6b474575-3eae-46b4-815f-d27ee696cf9c</x:v>
      </x:c>
      <x:c r="L17" s="21" t="str">
        <x:v>PASS — production d9be461f60175e9660c168860cfbad2408d78c60. Sheet/combat/clarity PASS: Dexterity save and radiant damage resolve with one Action; cover handling is honestly retained as the certified partial boundary. Three dimensions confirmed: sheet/world usage where relevant, combat usage where relevant, and user-visible result clarity. Manual certificate: mini-mvp-cantrips-manual-v1.</x:v>
      </x:c>
    </x:row>
    <x:row r="18" ht="48" customHeight="1">
      <x:c r="A18" s="21" t="n">
        <x:v>0</x:v>
      </x:c>
      <x:c r="B18" s="21" t="str">
        <x:v>Мистический заряд</x:v>
      </x:c>
      <x:c r="C18" s="21" t="str">
        <x:v>SPELL-0226</x:v>
      </x:c>
      <x:c r="D18" s="21" t="str">
        <x:v>0f0eca67-f241-4f1a-b01b-37c6f16adea2</x:v>
      </x:c>
      <x:c r="E18" s="21" t="str">
        <x:v>Колдун</x:v>
      </x:c>
      <x:c r="F18" s="21" t="str">
        <x:v>Действие; active</x:v>
      </x:c>
      <x:c r="G18" s="21" t="str">
        <x:v>[{"resource":"action"}]</x:v>
      </x:c>
      <x:c r="H18" s="21" t="str">
        <x:v>Вы выбрасываете луч потрескивающей энергии. Совершите дальнобойную атаку заклинанием по одному существу или объекту в пределах дистанции. При попадании цель получает [force]1к10:force:чистой силой[/force]. | Activation: active; cost action | Targeting: {"filter":"any","range":"120 футов","shape":"single"} | Effects: [{"ability":"spellcasting","attack_kind":"spell_ranged","on_hit":[{"dice":"1d10","kind":"damage","scaling":{"dice":"1d10","per":"character_level"},"type":"force"}],"resolution":"attack_roll","vs":"ac"}]</x:v>
      </x:c>
      <x:c r="I18" s="21" t="str">
        <x:v>verified_partial</x:v>
      </x:c>
      <x:c r="J18" s="42" t="str">
        <x:v>Passed</x:v>
      </x:c>
      <x:c r="K18" s="21" t="str">
        <x:v>3fa1addc-b61f-46fd-a8af-7d6a114edce2</x:v>
      </x:c>
      <x:c r="L18" s="21" t="str">
        <x:v>PASS — production d9be461f60175e9660c168860cfbad2408d78c60. Sheet/combat/clarity PASS on clean Forge Warlock: critical ranged hit dealt 14 force damage, spent one Action and no slot, with attack and damage visible in the journal. Retained scene owner: 420d2fbf-ce7b-490d-9f79-34fd209b8d1c. Three dimensions confirmed: sheet/world usage where relevant, combat usage where relevant, and user-visible result clarity. Manual certificate: mini-mvp-cantrips-manual-v1.</x:v>
      </x:c>
    </x:row>
    <x:row r="19" ht="48" customHeight="1">
      <x:c r="A19" s="21" t="n">
        <x:v>0</x:v>
      </x:c>
      <x:c r="B19" s="21" t="str">
        <x:v>Наставление</x:v>
      </x:c>
      <x:c r="C19" s="21" t="str">
        <x:v>SPELL-0230</x:v>
      </x:c>
      <x:c r="D19" s="21" t="str">
        <x:v>70dcdadd-7e66-43f0-81b1-1fd1d346d9b7</x:v>
      </x:c>
      <x:c r="E19" s="21" t="str">
        <x:v>Жрец, Друид</x:v>
      </x:c>
      <x:c r="F19" s="21" t="str">
        <x:v>Действие; active</x:v>
      </x:c>
      <x:c r="G19" s="21" t="str">
        <x:v>[{"resource":"action"}]</x:v>
      </x:c>
      <x:c r="H19" s="21" t="str">
        <x:v>Вы касаетесь согласного существа и выбираете навык. Пока заклинание активно, цель добавляет 1к4 к любой проверке характеристики, использующей выбранный навык. | Activation: active; cost action | Targeting: {"actor_targets":true,"allowed_relations":["self","ally","enemy","neutral"],"domain":"actor","filter":"creature","max_targets":1,"min_targets":1,"range":"Касание","range_ft":5,"requires_line_of_sight":false,"requires_touch":true,"requires_willing":true,"shape… | Effects: [{"context":"in_play","count":1,"id":"guidance_skill","kind":"choice","options":{"items":[{"grants":[{"applies_to":{"filter":{"skill":"acrobatics"},"roll":"ability_check"},"duration":{"amount":10,"concentration":true,"type":"rounds"},"faces":4,"kind":"modifier","op":"bonus_die","source":"Наставление"}],"id":"acrobatics","name":"Акробатика"},{"grants":[{"applies_to":{"filter":{"skill":"animal_handling"},"roll":"ability…</x:v>
      </x:c>
      <x:c r="I19" s="21" t="str">
        <x:v>verified_mechanical</x:v>
      </x:c>
      <x:c r="J19" s="42" t="str">
        <x:v>Passed</x:v>
      </x:c>
      <x:c r="K19" s="21" t="str">
        <x:v>7928519c-4d56-48cb-a394-95e9ac933e60; a5a4a6f7-253c-405e-bdde-89e95e10564a</x:v>
      </x:c>
      <x:c r="L19" s="21" t="str">
        <x:v>PASS — production d9be461f60175e9660c168860cfbad2408d78c60. Sheet/combat/clarity PASS: selected Athletics check, Action and concentration are persisted on the recipient; recipient guidance now says “Добавьте 1к4 к проверке «Атлетика»”. Three dimensions confirmed: sheet/world usage where relevant, combat usage where relevant, and user-visible result clarity. Manual certificate: mini-mvp-cantrips-manual-v1.</x:v>
      </x:c>
    </x:row>
    <x:row r="20" ht="48" customHeight="1">
      <x:c r="A20" s="21" t="n">
        <x:v>0</x:v>
      </x:c>
      <x:c r="B20" s="21" t="str">
        <x:v>Огненный снаряд</x:v>
      </x:c>
      <x:c r="C20" s="21" t="str">
        <x:v>fire_bolt</x:v>
      </x:c>
      <x:c r="D20" s="21" t="str">
        <x:v>50626b5a-33c5-46e0-af0e-50599f4306a0</x:v>
      </x:c>
      <x:c r="E20" s="21" t="str">
        <x:v>Чародей, Волшебник</x:v>
      </x:c>
      <x:c r="F20" s="21" t="str">
        <x:v>Действие; active</x:v>
      </x:c>
      <x:c r="G20" s="21" t="str">
        <x:v>[{"resource":"action"}]</x:v>
      </x:c>
      <x:c r="H20" s="21" t="str">
        <x:v>Вы кидаете сгусток огня в существо или объект в пределах дистанции. Совершите Дальнобойную атаку заклинанием по цели. При попадании цель получает [fire]1к10:fire:огнём[/fire]. Горючие объекты, по которым попало это заклинание, воспламеняются, если их никто не несёт и не носит. | Activation: active; cost action | Targeting: {"actor_targets":true,"allowed_relations":["self","ally","enemy","neutral"],"domain":"mixed","filter":"any","max_targets":1,"min_targets":1,"range":"120 футов","range_ft":120,"requires_line_of_sight":true,"shape":"single"} | Effects: [{"ability":"spellcasting","attack_kind":"spell_ranged","on_hit":[{"dice":"1d10","kind":"damage","scaling":{"dice":"1d10","per":"character_level"},"type":"fire"}],"resolution":"attack_roll","vs":"ac"}]</x:v>
      </x:c>
      <x:c r="I20" s="21" t="str">
        <x:v>verified_partial</x:v>
      </x:c>
      <x:c r="J20" s="42" t="str">
        <x:v>Passed</x:v>
      </x:c>
      <x:c r="K20" s="21" t="str">
        <x:v>3dfa1a6e-128b-43eb-bee0-45fd73722655</x:v>
      </x:c>
      <x:c r="L20" s="21" t="str">
        <x:v>PASS — production d9be461f60175e9660c168860cfbad2408d78c60. Sheet/combat/clarity PASS: ranged spell attack, fire damage, Action spend and level scaling are visible; no spell slot is consumed. Three dimensions confirmed: sheet/world usage where relevant, combat usage where relevant, and user-visible result clarity. Manual certificate: mini-mvp-cantrips-manual-v1.</x:v>
      </x:c>
    </x:row>
    <x:row r="21" ht="48" customHeight="1">
      <x:c r="A21" s="21" t="n">
        <x:v>0</x:v>
      </x:c>
      <x:c r="B21" s="21" t="str">
        <x:v>Пляшущие огоньки</x:v>
      </x:c>
      <x:c r="C21" s="21" t="str">
        <x:v>dancing_lights</x:v>
      </x:c>
      <x:c r="D21" s="21" t="str">
        <x:v>b2c5ebf4-facc-4521-948f-55b30746bfa5</x:v>
      </x:c>
      <x:c r="E21" s="21" t="str">
        <x:v>Бард, Чародей, Волшебник</x:v>
      </x:c>
      <x:c r="F21" s="21" t="str">
        <x:v>Действие; active</x:v>
      </x:c>
      <x:c r="G21" s="21" t="str">
        <x:v>[{"resource":"action"}]</x:v>
      </x:c>
      <x:c r="H21" s="21" t="str">
        <x:v>Вы создаёте не более четырёх огоньков размером с факел в пределах дистанции, делая их похожими на факелы, фонари или светящиеся сферы, парящие в воздухе. В качестве альтернативы вы можете объединить четыре огонька в одну светящуюся Среднюю человекоподобную фигуру. Какую бы форму вы ни выбрали, каждый огонёк излучает Тусклый свет в пределах 10 футов. Вы можете Бонусным действием в свой ход переместить огоньки на расстояние не более 60 футов в новое место в пределах дистанции. Каждый огонёк должен находиться в пределах 20 футов от другого огонька, созданного этим заклинанием, и огонёк тухнет, если оказывается за пределами дистанции заклинания. | Activation: active; cost action | Targeting: {"actor_targets":false,"allowed_relations":[],"domain":"world","filter":"any","max_targets":1,"min_targets":0,"range":"120 футов","range_ft":120,"requires_line_of_sight":false,"shape":"multiple"} | Effe…</x:v>
      </x:c>
      <x:c r="I21" s="21" t="str">
        <x:v>verified_partial</x:v>
      </x:c>
      <x:c r="J21" s="42" t="str">
        <x:v>Passed</x:v>
      </x:c>
      <x:c r="K21" s="21" t="str">
        <x:v>f8e7549a-fe5c-4347-9d90-a7e27bfe94b9</x:v>
      </x:c>
      <x:c r="L21" s="21" t="str">
        <x:v>PASS — production d9be461f60175e9660c168860cfbad2408d78c60. Sheet/combat/clarity PASS: four supplied placements create four lights with concentration and duration; follow-up movement spends one Bonus Action. Controller, positions, light radius and journal survive reload. Three dimensions confirmed: sheet/world usage where relevant, combat usage where relevant, and user-visible result clarity. Manual certificate: mini-mvp-cantrips-manual-v1.</x:v>
      </x:c>
    </x:row>
    <x:row r="22" ht="48" customHeight="1">
      <x:c r="A22" s="21" t="n">
        <x:v>0</x:v>
      </x:c>
      <x:c r="B22" s="21" t="str">
        <x:v>Погребальный звон</x:v>
      </x:c>
      <x:c r="C22" s="21" t="str">
        <x:v>SPELL-0260</x:v>
      </x:c>
      <x:c r="D22" s="21" t="str">
        <x:v>a9a0d114-ad46-435e-a3c9-128b305b8a5d</x:v>
      </x:c>
      <x:c r="E22" s="21" t="str">
        <x:v>Жрец, Колдун, Волшебник</x:v>
      </x:c>
      <x:c r="F22" s="21" t="str">
        <x:v>Действие; active</x:v>
      </x:c>
      <x:c r="G22" s="21" t="str">
        <x:v>[{"resource":"action"}]</x:v>
      </x:c>
      <x:c r="H22" s="21" t="str">
        <x:v>Вы указываете на одно существо, которое можете видеть в пределах дистанции, и одиночный скорбный звук колокола слышен в пределах 10 футов от цели. Цель должна преуспеть в спасброске Мудрости, иначе получит [necrotic]1к8:necrotic:некротической энергией[/necrotic]. Если Хиты цели неполные, то вместо этого она получает [necrotic]1к12:necrotic:некротической энергией[/necrotic]. | Activation: active; cost action | Targeting: {"filter":"any","range":"60 футов","shape":"single"} | Effects: [{"ability":"wis","dc":"8 + prof + spellcasting","on_fail":[{"dice":"1d8","kind":"damage","scaling":{"dice":"1d8","per":"character_level"},"type":"necrotic"},{"description":"Если Хиты цели неполные, бросайте к12 вместо к8 (1к12; на 5/11/17 уровне — 2к12/3к12/4к12).","kind":"narrative"}],"on_success":[],"resolution":"save","who":"target"}]</x:v>
      </x:c>
      <x:c r="I22" s="21" t="str">
        <x:v>verified_partial</x:v>
      </x:c>
      <x:c r="J22" s="42" t="str">
        <x:v>Passed</x:v>
      </x:c>
      <x:c r="K22" s="21" t="str">
        <x:v>815c3e25-436a-4d2e-b34a-aed7ac287ba6</x:v>
      </x:c>
      <x:c r="L22" s="21" t="str">
        <x:v>PASS — production d9be461f60175e9660c168860cfbad2408d78c60. Sheet/combat/clarity PASS: wounded/unhurt choice, Wisdom save and necrotic damage resolve; Action spend and target-save result are visible. Retained scene owner: 420d2fbf-ce7b-490d-9f79-34fd209b8d1c. Three dimensions confirmed: sheet/world usage where relevant, combat usage where relevant, and user-visible result clarity. Manual certificate: mini-mvp-cantrips-manual-v1.</x:v>
      </x:c>
    </x:row>
    <x:row r="23" ht="48" customHeight="1">
      <x:c r="A23" s="21" t="n">
        <x:v>0</x:v>
      </x:c>
      <x:c r="B23" s="21" t="str">
        <x:v>Починка</x:v>
      </x:c>
      <x:c r="C23" s="21" t="str">
        <x:v>mending</x:v>
      </x:c>
      <x:c r="D23" s="21" t="str">
        <x:v>5b79a37b-e7a9-482a-9efc-46b57e3a79de</x:v>
      </x:c>
      <x:c r="E23" s="21" t="str">
        <x:v>Бард, Жрец, Друид, Чародей, Волшебник</x:v>
      </x:c>
      <x:c r="F23" s="21" t="str">
        <x:v>1 минута; active</x:v>
      </x:c>
      <x:c r="G23" s="21" t="str">
        <x:v>[{"resource":"action"}]</x:v>
      </x:c>
      <x:c r="H23" s="21" t="str">
        <x:v>Это заклинание чинит одно повреждение или разрыв на объекте, которого касаетесь, например, разорванное звено цепи, две половинки сломанного ключа, порванный плащ или протекающий бурдюк. Если повреждение или разрыв не больше 1 фута в длину, вы чините его, не оставляя следов. Это заклинание может физически починить магический предмет, но не может восстановить магию в таком объекте. | Activation: active; cost action | Targeting: {"actor_targets":false,"allowed_relations":[],"domain":"world","filter":"any","max_targets":1,"min_targets":0,"range":"Касание","range_ft":0,"requires_line_of_sight":false,"requires_touch":true,"shape":"single"} | Effects: [{"resolution":"auto","result":[]}]</x:v>
      </x:c>
      <x:c r="I23" s="21" t="str">
        <x:v>verified_partial</x:v>
      </x:c>
      <x:c r="J23" s="42" t="str">
        <x:v>Passed</x:v>
      </x:c>
      <x:c r="K23" s="21" t="str">
        <x:v>815c3e25-436a-4d2e-b34a-aed7ac287ba6</x:v>
      </x:c>
      <x:c r="L23" s="21" t="str">
        <x:v>PASS — production d9be461f60175e9660c168860cfbad2408d78c60. Sheet/world-scene/clarity PASS: touched-object form validates an unrepaired break, spends the declared action after validation and persists the repaired object state. Encounter actor targeting is correctly not applicable. Three dimensions confirmed: sheet/world usage where relevant, combat usage where relevant, and user-visible result clarity. Manual certificate: mini-mvp-cantrips-manual-v1.</x:v>
      </x:c>
    </x:row>
    <x:row r="24" ht="48" customHeight="1">
      <x:c r="A24" s="21" t="n">
        <x:v>0</x:v>
      </x:c>
      <x:c r="B24" s="21" t="str">
        <x:v>Раскат грома</x:v>
      </x:c>
      <x:c r="C24" s="21" t="str">
        <x:v>SPELL-0280</x:v>
      </x:c>
      <x:c r="D24" s="21" t="str">
        <x:v>13e456fc-cf29-4c46-8aeb-c282a9cbcd5f</x:v>
      </x:c>
      <x:c r="E24" s="21" t="str">
        <x:v>Бард, Друид, Чародей, Колдун, Волшебник</x:v>
      </x:c>
      <x:c r="F24" s="21" t="str">
        <x:v>Действие; active</x:v>
      </x:c>
      <x:c r="G24" s="21" t="str">
        <x:v>[{"resource":"action"}]</x:v>
      </x:c>
      <x:c r="H24" s="21" t="str">
        <x:v>Каждое существо в исходящей от вас 5‑футовой Эманации должно преуспеть в спасброске Телосложения, иначе получит [thunder]1к6:thunder:звуком[/thunder]. Раскат грома от заклинания слышен на расстоянии не более 100 футов. | Activation: active; cost action | Targeting: {"shape":"self"} | Effects: [{"ability":"con","dc":"8 + prof + spellcasting","on_fail":[{"dice":"1d6","kind":"damage","scaling":{"dice":"1d6","per":"character_level"},"type":"thunder"}],"on_success":[],"resolution":"save","who":"target"}]</x:v>
      </x:c>
      <x:c r="I24" s="21" t="str">
        <x:v>verified_partial</x:v>
      </x:c>
      <x:c r="J24" s="43" t="str">
        <x:v>Passed</x:v>
      </x:c>
      <x:c r="K24" s="21" t="str">
        <x:v>815c3e25-436a-4d2e-b34a-aed7ac287ba6</x:v>
      </x:c>
      <x:c r="L24" s="21" t="str">
        <x:v>PASS — production 668344f9d6fcc4814e15d73b95b4cb0ade92a530. Sheet PASS: the card exposes the Constitution save, 5-ft emanation, 1d6 thunder damage and Action cost. Combat PASS in retained scene owned by 815c3e25-436a-4d2e-b34a-aed7ac287ba6: a diagonally adjacent goblin was selected by the emanation, Action changed 1/1 → 0/1, and the target resolved 19 +0 CON against DC 13 without an uncertified/mechanics dialog. Clarity PASS: the journal names the caster and target and shows the full save formula and outcome. Three dimensions confirmed: sheet usage, combat usage, and user-visible result clarity. Manual certificate: mini-mvp-cantrips-manual-v1.</x:v>
      </x:c>
    </x:row>
    <x:row r="25" ht="48" customHeight="1">
      <x:c r="A25" s="21" t="n">
        <x:v>0</x:v>
      </x:c>
      <x:c r="B25" s="21" t="str">
        <x:v>Расщепление разума</x:v>
      </x:c>
      <x:c r="C25" s="21" t="str">
        <x:v>SPELL-0281</x:v>
      </x:c>
      <x:c r="D25" s="21" t="str">
        <x:v>c3fc969b-ba03-443f-a222-46f6b9a53bd6</x:v>
      </x:c>
      <x:c r="E25" s="21" t="str">
        <x:v>Чародей, Колдун, Волшебник</x:v>
      </x:c>
      <x:c r="F25" s="21" t="str">
        <x:v>Действие; active</x:v>
      </x:c>
      <x:c r="G25" s="21" t="str">
        <x:v>[{"resource":"action"}]</x:v>
      </x:c>
      <x:c r="H25" s="21" t="str">
        <x:v>Вы пытаетесь временно расщепить разум одного существа, которое вы можете видеть в пределах дистанции. Цель должна преуспеть в спасброске Интеллекта, иначе получит [psychic]1к6:psychic:психической энергией[/psychic] и вычтет 1к4 из следующего спасброска, совершаемого ею до конца вашего следующего хода. | Activation: active; cost action | Targeting: {"filter":"any","range":"60 футов","shape":"single"} | Effects: [{"ability":"int","dc":"8 + prof + spellcasting","on_fail":[{"dice":"1d6","kind":"damage","scaling":{"dice":"1d6","per":"character_level"},"type":"psychic"},{"description":"Цель вычитает 1к4 из следующего спасброска, совершаемого ею до конца вашего следующего хода.","kind":"narrative"}],"on_success":[],"resolution":"save","who":"target"}]</x:v>
      </x:c>
      <x:c r="I25" s="21" t="str">
        <x:v>verified_mechanical</x:v>
      </x:c>
      <x:c r="J25" s="42" t="str">
        <x:v>Passed</x:v>
      </x:c>
      <x:c r="K25" s="21" t="str">
        <x:v>89f8fefe-acf2-45bc-86e1-960d8cb49188; 6b474575-3eae-46b4-815f-d27ee696cf9c</x:v>
      </x:c>
      <x:c r="L25" s="21" t="str">
        <x:v>PASS — production d9be461f60175e9660c168860cfbad2408d78c60. Sheet/combat/clarity PASS: Intelligence save, psychic damage and the next-save penalty resolve; the target-owned journal and inspector make source, die and expiry understandable. Three dimensions confirmed: sheet/world usage where relevant, combat usage where relevant, and user-visible result clarity. Manual certificate: mini-mvp-cantrips-manual-v1.</x:v>
      </x:c>
    </x:row>
    <x:row r="26" ht="48" customHeight="1">
      <x:c r="A26" s="21" t="n">
        <x:v>0</x:v>
      </x:c>
      <x:c r="B26" s="21" t="str">
        <x:v>Свет</x:v>
      </x:c>
      <x:c r="C26" s="21" t="str">
        <x:v>light</x:v>
      </x:c>
      <x:c r="D26" s="21" t="str">
        <x:v>1e9cb7db-f4dc-4215-ad57-0e3407b78913</x:v>
      </x:c>
      <x:c r="E26" s="21" t="str">
        <x:v>Бард, Жрец, Чародей, Волшебник</x:v>
      </x:c>
      <x:c r="F26" s="21" t="str">
        <x:v>Действие; active</x:v>
      </x:c>
      <x:c r="G26" s="21" t="str">
        <x:v>[{"resource":"action"}]</x:v>
      </x:c>
      <x:c r="H26" s="21" t="str">
        <x:v>Вы касаетесь одного объекта Большого размера или меньше, который никто не носит и не несёт. Пока заклинание активно, объект испускает Яркий свет в пределах 20 футов и Тусклый свет в пределах ещё 20 футов. Свет может быть любого выбранного вами цвета. Полное покрытие предмета чем‑то непрозрачным блокирует свет. Заклинание заканчивается, если вы сотворите его ещё раз. | Activation: active; cost action | Targeting: {"actor_targets":false,"allowed_relations":[],"domain":"world","filter":"any","max_targets":1,"min_targets":0,"range":"Касание","range_ft":0,"requires_line_of_sight":false,"requires_touch":true,"shape":"single"} | Effects: [{"resolution":"auto","result":[{"description":"Свет: см. описание заклинания.","kind":"narrative"}]}]</x:v>
      </x:c>
      <x:c r="I26" s="21" t="str">
        <x:v>verified_partial</x:v>
      </x:c>
      <x:c r="J26" s="42" t="str">
        <x:v>Passed</x:v>
      </x:c>
      <x:c r="K26" s="21" t="str">
        <x:v>3dfa1a6e-128b-43eb-bee0-45fd73722655</x:v>
      </x:c>
      <x:c r="L26" s="21" t="str">
        <x:v>PASS — production d9be461f60175e9660c168860cfbad2408d78c60. Sheet/combat/clarity PASS: a named torch/object receives bright and dim light, Action is spent, and the localized object/range/duration journal survives reload. Three dimensions confirmed: sheet/world usage where relevant, combat usage where relevant, and user-visible result clarity. Manual certificate: mini-mvp-cantrips-manual-v1.</x:v>
      </x:c>
    </x:row>
    <x:row r="27" ht="48" customHeight="1">
      <x:c r="A27" s="21" t="n">
        <x:v>0</x:v>
      </x:c>
      <x:c r="B27" s="21" t="str">
        <x:v>Священное пламя</x:v>
      </x:c>
      <x:c r="C27" s="21" t="str">
        <x:v>SPELL-0286</x:v>
      </x:c>
      <x:c r="D27" s="21" t="str">
        <x:v>8cddf152-e406-4c7a-8d34-cc8bcbfc0dfa</x:v>
      </x:c>
      <x:c r="E27" s="21" t="str">
        <x:v>Жрец</x:v>
      </x:c>
      <x:c r="F27" s="21" t="str">
        <x:v>Действие; active</x:v>
      </x:c>
      <x:c r="G27" s="21" t="str">
        <x:v>[{"resource":"action"}]</x:v>
      </x:c>
      <x:c r="H27" s="21" t="str">
        <x:v>Похожее на огонь сияние нисходит на существо, которое вы можете видеть в пределах дистанции. Цель должна преуспеть в спасброске Ловкости, иначе получит [radiant]1к8:radiant:излучением[/radiant]. Цель не получает преимущества от Укрытия на половину и Укрытия на три четверти к этому спасброску. | Activation: active; cost action | Targeting: {"actor_targets":true,"allowed_relations":["self","ally","enemy","neutral"],"domain":"actor","filter":"any","max_targets":1,"min_targets":1,"range":"60 футов","range_ft":60,"requires_line_of_sight":true,"requires_sight":true,"shape":"single"} | Effects: [{"ability":"dex","dc":"8 + prof + spellcasting","on_fail":[{"dice":"1d8","kind":"damage","scaling":{"dice":"1d8","per":"character_level"},"type":"radiant"}],"on_success":[],"resolution":"save","who":"target"}]</x:v>
      </x:c>
      <x:c r="I27" s="21" t="str">
        <x:v>verified_partial</x:v>
      </x:c>
      <x:c r="J27" s="42" t="str">
        <x:v>Passed</x:v>
      </x:c>
      <x:c r="K27" s="21" t="str">
        <x:v>e02ec94f-261f-45cc-b03d-65b9739de80e</x:v>
      </x:c>
      <x:c r="L27" s="21" t="str">
        <x:v>PASS — production d9be461f60175e9660c168860cfbad2408d78c60. Sheet/combat/clarity PASS: failed Dexterity save dealt radiant damage, spent one Action and exposed the save/damage outcome. Cover handling remains the explicit partial boundary. Three dimensions confirmed: sheet/world usage where relevant, combat usage where relevant, and user-visible result clarity. Manual certificate: mini-mvp-cantrips-manual-v1.</x:v>
      </x:c>
    </x:row>
    <x:row r="28" ht="48" customHeight="1">
      <x:c r="A28" s="21" t="n">
        <x:v>0</x:v>
      </x:c>
      <x:c r="B28" s="21" t="str">
        <x:v>Слово сияния</x:v>
      </x:c>
      <x:c r="C28" s="21" t="str">
        <x:v>SPELL-0291</x:v>
      </x:c>
      <x:c r="D28" s="21" t="str">
        <x:v>78eb6e5c-5d2a-42ad-8e6e-6bf3be3f96c0</x:v>
      </x:c>
      <x:c r="E28" s="21" t="str">
        <x:v>Жрец</x:v>
      </x:c>
      <x:c r="F28" s="21" t="str">
        <x:v>Действие; active</x:v>
      </x:c>
      <x:c r="G28" s="21" t="str">
        <x:v>[{"resource":"action"}]</x:v>
      </x:c>
      <x:c r="H28" s="21" t="str">
        <x:v>Из вас извергается жгучее сияние 5‑футовой Эманацией. Каждое существо по вашему выбору, которое вы можете видеть, должно преуспеть в спасброске Телосложения, иначе получит [radiant]1к6:radiant:излучением[/radiant]. | Activation: active; cost action | Targeting: {"shape":"self"} | Effects: [{"ability":"con","dc":"8 + prof + spellcasting","on_fail":[{"dice":"1d6","kind":"damage","scaling":{"dice":"1d6","per":"character_level"},"type":"radiant"}],"on_success":[],"resolution":"save","who":"target"}]</x:v>
      </x:c>
      <x:c r="I28" s="21" t="str">
        <x:v>verified_partial</x:v>
      </x:c>
      <x:c r="J28" s="42" t="str">
        <x:v>Passed</x:v>
      </x:c>
      <x:c r="K28" s="21" t="str">
        <x:v>e02ec94f-261f-45cc-b03d-65b9739de80e</x:v>
      </x:c>
      <x:c r="L28" s="21" t="str">
        <x:v>PASS — production d9be461f60175e9660c168860cfbad2408d78c60. Sheet/combat/clarity PASS: failed Constitution save dealt radiant damage and spent one Action; the emanation and per-target partial boundary are stated clearly. Three dimensions confirmed: sheet/world usage where relevant, combat usage where relevant, and user-visible result clarity. Manual certificate: mini-mvp-cantrips-manual-v1.</x:v>
      </x:c>
    </x:row>
    <x:row r="29" ht="48" customHeight="1">
      <x:c r="A29" s="21" t="n">
        <x:v>0</x:v>
      </x:c>
      <x:c r="B29" s="21" t="str">
        <x:v>Сообщение</x:v>
      </x:c>
      <x:c r="C29" s="21" t="str">
        <x:v>SPELL-0294</x:v>
      </x:c>
      <x:c r="D29" s="21" t="str">
        <x:v>35d36558-8a47-49a1-9099-387bee37b8a2</x:v>
      </x:c>
      <x:c r="E29" s="21" t="str">
        <x:v>Бард, Друид, Чародей, Волшебник</x:v>
      </x:c>
      <x:c r="F29" s="21" t="str">
        <x:v>Действие; active</x:v>
      </x:c>
      <x:c r="G29" s="21" t="str">
        <x:v>[{"resource":"action"}]</x:v>
      </x:c>
      <x:c r="H29" s="21" t="str">
        <x:v>Вы указываете на существо в пределах дистанции и шепчете послание. Цель (и только цель) слышит его и может ответить шёпотом, который услышите только вы. Вы можете сотворять это заклинание сквозь твёрдые препятствия, если знакомы с целью и знаете, что она находится за барьером. Магическая тишина, 1 фут камня, металла или дерева, либо тонкий лист свинца или свинцовые блоки блокируют заклинание. | Activation: active; cost action | Targeting: {"actor_targets":true,"allowed_relations":["self","ally","enemy","neutral"],"domain":"actor","max_targets":1,"min_targets":1,"range_ft":120,"requires_line_of_sight":false,"shape":"single"} | Effects: [{"resolution":"auto","result":[{"allows_reply":true,"blockers":{"magical_silence":true,"max_thickness_ft":{"lead":0.001,"metal":1,"stone":1,"wood":1}},"duration":{"amount":1,"type":"rounds"},"kind":"communication_link","private":true,"range_ft":120,"stack…</x:v>
      </x:c>
      <x:c r="I29" s="21" t="str">
        <x:v>verified_mechanical</x:v>
      </x:c>
      <x:c r="J29" s="42" t="str">
        <x:v>Passed</x:v>
      </x:c>
      <x:c r="K29" s="21" t="str">
        <x:v>815c3e25-436a-4d2e-b34a-aed7ac287ba6; a5a4a6f7-253c-405e-bdde-89e95e10564a</x:v>
      </x:c>
      <x:c r="L29" s="21" t="str">
        <x:v>PASS — production d9be461f60175e9660c168860cfbad2408d78c60. Sheet/combat/clarity PASS: ally target receives a one-turn Message effect, Action is spent and both sheets expose source/delivery. Familiarity and obstacle material remain explicit world-fact limitations. Three dimensions confirmed: sheet/world usage where relevant, combat usage where relevant, and user-visible result clarity. Manual certificate: mini-mvp-cantrips-manual-v1.</x:v>
      </x:c>
    </x:row>
    <x:row r="30" ht="48" customHeight="1">
      <x:c r="A30" s="21" t="n">
        <x:v>0</x:v>
      </x:c>
      <x:c r="B30" s="21" t="str">
        <x:v>Сопротивление</x:v>
      </x:c>
      <x:c r="C30" s="21" t="str">
        <x:v>SPELL-0295</x:v>
      </x:c>
      <x:c r="D30" s="21" t="str">
        <x:v>bd99466f-46ab-4af5-a41d-b2b804b9f1e3</x:v>
      </x:c>
      <x:c r="E30" s="21" t="str">
        <x:v>Жрец, Друид</x:v>
      </x:c>
      <x:c r="F30" s="21" t="str">
        <x:v>Действие; active</x:v>
      </x:c>
      <x:c r="G30" s="21" t="str">
        <x:v>[{"resource":"action"}]</x:v>
      </x:c>
      <x:c r="H30" s="21" t="str">
        <x:v>Вы касаетесь одного согласного существа и выбираете тип урона: :bludgeoning:Дробящий, [thunder]:thunder:Звук[/thunder], [radiant]:radiant:Излучение[/radiant], [acid]:acid:Кислота[/acid], :piercing:Колющий, [necrotic]:necrotic:Некротическая энергия[/necrotic], [fire]:fire:Огонь[/fire], :slashing:Рубящий, [cold]:cold:Холод[/cold], [lightning]:lightning:Электричество [/lightning]или [poison]:poison:Яд[/poison]. Когда существо получает урон выбранного типа до окончания действия заклинания, оно уменьшает полученный урон на 1к4. Существо может получить преимущество от этого заклинания только один раз за ход. | Activation: active; cost action | Targeting: {"actor_targets":true,"allowed_relations":["self","ally"],"domain":"actor","max_targets":1,"min_targets":1,"range_ft":5,"requires_line_of_sight":false,"requires_touch":true,"shape":"single"} | Effects: [{"resolution":"auto","result":[{"contex…</x:v>
      </x:c>
      <x:c r="I30" s="21" t="str">
        <x:v>verified_mechanical</x:v>
      </x:c>
      <x:c r="J30" s="42" t="str">
        <x:v>Passed</x:v>
      </x:c>
      <x:c r="K30" s="21" t="str">
        <x:v>5b3ba8b4-7d49-471a-a0db-66a0692cf5c1; a5a4a6f7-253c-405e-bdde-89e95e10564a</x:v>
      </x:c>
      <x:c r="L30" s="21" t="str">
        <x:v>PASS — production d9be461f60175e9660c168860cfbad2408d78c60. Sheet/combat/clarity PASS: Fire choice, Action and concentration persist on the recipient; guidance now says damage type, 1d4 reduction and once-per-turn limit. Three dimensions confirmed: sheet/world usage where relevant, combat usage where relevant, and user-visible result clarity. Manual certificate: mini-mvp-cantrips-manual-v1.</x:v>
      </x:c>
    </x:row>
    <x:row r="31" ht="48" customHeight="1">
      <x:c r="A31" s="21" t="n">
        <x:v>0</x:v>
      </x:c>
      <x:c r="B31" s="21" t="str">
        <x:v>Сотворение пламени</x:v>
      </x:c>
      <x:c r="C31" s="21" t="str">
        <x:v>SPELL-0297</x:v>
      </x:c>
      <x:c r="D31" s="21" t="str">
        <x:v>ba23242c-eb9c-46a6-ba01-ebdc3b5b9618</x:v>
      </x:c>
      <x:c r="E31" s="21" t="str">
        <x:v>Друид</x:v>
      </x:c>
      <x:c r="F31" s="21" t="str">
        <x:v>Бонусное действие; active</x:v>
      </x:c>
      <x:c r="G31" s="21" t="str">
        <x:v>[{"resource":"bonus_action"}]</x:v>
      </x:c>
      <x:c r="H31" s="21" t="str">
        <x:v>В вашей ладони появляется мерцающее пламя и остаётся там, пока заклинание активно. Будучи на ладони, пламя не излучает тепла, ничего не поджигает и испускает Яркий свет в пределах 20 футов, а также Тусклый свет в пределах ещё 20 футов. Заклинание заканчивается, если вы сотворите его ещё раз. Пока заклинание активно, вы можете действием Магия метнуть пламя в существо или объект в пределах 60 футов. Совершите дальнобойную атаку заклинанием. При попадании цель получает [fire]1к8:fire:огнём[/fire]. | Activation: active; cost bonus_action | Targeting: {"shape":"self"} | Effects: [{"ability":"spellcasting","attack_kind":"spell_melee","on_hit":[{"dice":"1d8","kind":"damage","scaling":{"dice":"1d8","per":"character_level"},"type":"fire"}],"resolution":"attack_roll","vs":"ac"}]</x:v>
      </x:c>
      <x:c r="I31" s="21" t="str">
        <x:v>verified_partial</x:v>
      </x:c>
      <x:c r="J31" s="42" t="str">
        <x:v>Passed</x:v>
      </x:c>
      <x:c r="K31" s="21" t="str">
        <x:v>7928519c-4d56-48cb-a394-95e9ac933e60</x:v>
      </x:c>
      <x:c r="L31" s="21" t="str">
        <x:v>PASS — production d9be461f60175e9660c168860cfbad2408d78c60. Sheet/combat/clarity PASS: 2024 Bonus Action, ranged hit, fire damage and light narrative resolve. A durable carried-flame object remains the explicit partial boundary. Three dimensions confirmed: sheet/world usage where relevant, combat usage where relevant, and user-visible result clarity. Manual certificate: mini-mvp-cantrips-manual-v1.</x:v>
      </x:c>
    </x:row>
    <x:row r="32" ht="48" customHeight="1">
      <x:c r="A32" s="21" t="n">
        <x:v>0</x:v>
      </x:c>
      <x:c r="B32" s="21" t="str">
        <x:v>Стихийность</x:v>
      </x:c>
      <x:c r="C32" s="21" t="str">
        <x:v>SPELL-0298</x:v>
      </x:c>
      <x:c r="D32" s="21" t="str">
        <x:v>b84d904f-4768-4a05-8803-7a0d0da28a00</x:v>
      </x:c>
      <x:c r="E32" s="21" t="str">
        <x:v>Друид, Чародей, Волшебник</x:v>
      </x:c>
      <x:c r="F32" s="21" t="str">
        <x:v>Действие; active</x:v>
      </x:c>
      <x:c r="G32" s="21" t="str">
        <x:v>[{"resource":"action"}]</x:v>
      </x:c>
      <x:c r="H32" s="21" t="str">
        <x:v>Вы управляете стихиями, и можете создать один из эффектов, связанный с конкретной стихией: огнём, воздухом, водой или землёй. | Activation: active; cost action | Targeting: {"actor_targets":false,"allowed_relations":[],"domain":"world","max_targets":1,"min_targets":0,"range_ft":30,"requires_line_of_sight":true,"shape":"single"} | Effects: [{"context":"in_play","count":1,"id":"elementalism_effect","kind":"choice","options":{"items":[{"grants":[{"kind":"world_interaction","operation":"beckon_air","parameters":{"area_shape":"cube","area_size_ft":5,"may_close_unheld_openings":true}}],"id":"air","name":"Призыв воздуха"},{"grants":[{"kind":"world_interaction","operation":"beckon_earth","parameters":{"area_shape":"square","area_size_ft":5,"may_write_single_word":true}}],"id":"earth","name":"Призыв земли"},{"grants":[{"kind":"world_interaction","operation"…</x:v>
      </x:c>
      <x:c r="I32" s="21" t="str">
        <x:v>verified_partial</x:v>
      </x:c>
      <x:c r="J32" s="42" t="str">
        <x:v>Passed</x:v>
      </x:c>
      <x:c r="K32" s="21" t="str">
        <x:v>3dfa1a6e-128b-43eb-bee0-45fd73722655</x:v>
      </x:c>
      <x:c r="L32" s="21" t="str">
        <x:v>PASS — production d9be461f60175e9660c168860cfbad2408d78c60. Sheet/world-scene/clarity PASS: typed elemental option executes and journal operations are localized (air, earth, fire and water). Visual mutation of map art remains an explicit narrative boundary. Three dimensions confirmed: sheet/world usage where relevant, combat usage where relevant, and user-visible result clarity. Manual certificate: mini-mvp-cantrips-manual-v1.</x:v>
      </x:c>
    </x:row>
    <x:row r="33" ht="48" customHeight="1">
      <x:c r="A33" s="21" t="n">
        <x:v>0</x:v>
      </x:c>
      <x:c r="B33" s="21" t="str">
        <x:v>Терновый кнут</x:v>
      </x:c>
      <x:c r="C33" s="21" t="str">
        <x:v>SPELL-0300</x:v>
      </x:c>
      <x:c r="D33" s="21" t="str">
        <x:v>1c966901-b84a-435c-8950-1da774d72210</x:v>
      </x:c>
      <x:c r="E33" s="21" t="str">
        <x:v>Друид</x:v>
      </x:c>
      <x:c r="F33" s="21" t="str">
        <x:v>Действие; active</x:v>
      </x:c>
      <x:c r="G33" s="21" t="str">
        <x:v>[{"resource":"action"}]</x:v>
      </x:c>
      <x:c r="H33" s="21" t="str">
        <x:v>Вы создаёте похожий на лозу кнут, покрытый шипами, бьющий по вашей команде существо, находящееся в пределах дистанции. Совершите по цели рукопашную атаку заклинанием. При попадании цель получает [piercing]1к6:piercing:колющего урона[/piercing], и если она Большая или меньше, вы можете подтянуть её к себе на расстояние не более 10 футов. | Activation: active; cost action | Targeting: {"filter":"any","range":"30 футов","shape":"single"} | Effects: [{"ability":"spellcasting","attack_kind":"spell_melee","on_hit":[{"dice":"1d6","kind":"damage","scaling":{"dice":"1d6","per":"character_level"},"type":"piercing"},{"distance":10,"kind":"movement","value":"pull"},{"description":"Притянуть можно цель Большого размера или меньше.","kind":"narrative"}],"resolution":"attack_roll","vs":"ac"}]</x:v>
      </x:c>
      <x:c r="I33" s="21" t="str">
        <x:v>verified_partial</x:v>
      </x:c>
      <x:c r="J33" s="42" t="str">
        <x:v>Passed</x:v>
      </x:c>
      <x:c r="K33" s="21" t="str">
        <x:v>7928519c-4d56-48cb-a394-95e9ac933e60</x:v>
      </x:c>
      <x:c r="L33" s="21" t="str">
        <x:v>PASS — production d9be461f60175e9660c168860cfbad2408d78c60. Sheet/combat/clarity PASS: melee spell attack at range, piercing damage and 10-ft pull event resolve and are visible; automatic token displacement/size enforcement remains explicit partial scope. Three dimensions confirmed: sheet/world usage where relevant, combat usage where relevant, and user-visible result clarity. Manual certificate: mini-mvp-cantrips-manual-v1.</x:v>
      </x:c>
    </x:row>
    <x:row r="34" ht="48" customHeight="1">
      <x:c r="A34" s="21" t="n">
        <x:v>0</x:v>
      </x:c>
      <x:c r="B34" s="21" t="str">
        <x:v>Уход за умирающим</x:v>
      </x:c>
      <x:c r="C34" s="21" t="str">
        <x:v>SPELL-0312</x:v>
      </x:c>
      <x:c r="D34" s="21" t="str">
        <x:v>d3177c17-b0c9-4691-a2ba-5ef24a28c1aa</x:v>
      </x:c>
      <x:c r="E34" s="21" t="str">
        <x:v>Жрец, Друид</x:v>
      </x:c>
      <x:c r="F34" s="21" t="str">
        <x:v>Действие; active</x:v>
      </x:c>
      <x:c r="G34" s="21" t="str">
        <x:v>[{"resource":"action"}]</x:v>
      </x:c>
      <x:c r="H34" s="21" t="str">
        <x:v>Выберите живое существо, которое находится в пределах дистанции и имеет 0 Хитов. Существо становится Стабилизированным. | Activation: active; cost action | Targeting: {"actor_targets":true,"allowed_relations":["self","ally","neutral"],"domain":"actor","max_targets":1,"min_targets":1,"range_ft":15,"requires_line_of_sight":true,"shape":"single"} | Effects: [{"resolution":"auto","result":[{"kind":"stabilize"}],"who":"target"}]</x:v>
      </x:c>
      <x:c r="I34" s="21" t="str">
        <x:v>verified_partial</x:v>
      </x:c>
      <x:c r="J34" s="42" t="str">
        <x:v>Passed</x:v>
      </x:c>
      <x:c r="K34" s="21" t="str">
        <x:v>5b3ba8b4-7d49-471a-a0db-66a0692cf5c1; a5a4a6f7-253c-405e-bdde-89e95e10564a</x:v>
      </x:c>
      <x:c r="L34" s="21" t="str">
        <x:v>PASS — production d9be461f60175e9660c168860cfbad2408d78c60. Sheet/combat/clarity PASS: after explicit 0-HP setup and fresh target facts, the spell stabilizes the ally and journals “Цель стабилизирована”; HP was restored afterward and both characters are retained. Three dimensions confirmed: sheet/world usage where relevant, combat usage where relevant, and user-visible result clarity. Manual certificate: mini-mvp-cantrips-manual-v1.</x:v>
      </x:c>
    </x:row>
    <x:row r="35" ht="48" customHeight="1">
      <x:c r="A35" s="21" t="n">
        <x:v>0</x:v>
      </x:c>
      <x:c r="B35" s="21" t="str">
        <x:v>Фокусы</x:v>
      </x:c>
      <x:c r="C35" s="21" t="str">
        <x:v>prestidigitation</x:v>
      </x:c>
      <x:c r="D35" s="21" t="str">
        <x:v>e47e71cb-f44e-402e-91af-e6fad63982dc</x:v>
      </x:c>
      <x:c r="E35" s="21" t="str">
        <x:v>Бард, Чародей, Колдун, Волшебник</x:v>
      </x:c>
      <x:c r="F35" s="21" t="str">
        <x:v>Действие; active</x:v>
      </x:c>
      <x:c r="G35" s="21" t="str">
        <x:v>[{"resource":"action"}]</x:v>
      </x:c>
      <x:c r="H35" s="21" t="str">
        <x:v>Вы создаёте один незначительный магический эффект в пределах дистанции (одновременно можно иметь до трёх немгновенных): безвредный ощутимый эффект — искры, ветерок, запах или мелодия; зажечь либо потушить маленький огонь; мгновенно очистить или испачкать предмет до 1 кубического фута; охладить, нагреть или ароматизировать неживую материю на час; создать цветную метку на час; либо сотворить немагическую безделушку или иллюзорный образ на ладони до конца вашего следующего хода. | Activation: active; cost action | Targeting: {"actor_targets":false,"allowed_relations":[],"domain":"world","filter":"any","max_targets":1,"min_targets":0,"range":"10 футов","range_ft":10,"requires_line_of_sight":false,"shape":"single"} | Effects: [{"resolution":"auto","result":[]}]</x:v>
      </x:c>
      <x:c r="I35" s="21" t="str">
        <x:v>verified_partial</x:v>
      </x:c>
      <x:c r="J35" s="42" t="str">
        <x:v>Passed</x:v>
      </x:c>
      <x:c r="K35" s="21" t="str">
        <x:v>3dfa1a6e-128b-43eb-bee0-45fd73722655</x:v>
      </x:c>
      <x:c r="L35" s="21" t="str">
        <x:v>PASS — production d9be461f60175e9660c168860cfbad2408d78c60. Sheet/combat/clarity PASS: all six utility choices are understandable; the supplied pine-scent/quiet-chime sensory effect spends one Action and produces localized created/completed journal entries. Three dimensions confirmed: sheet/world usage where relevant, combat usage where relevant, and user-visible result clarity. Manual certificate: mini-mvp-cantrips-manual-v1.</x:v>
      </x:c>
    </x:row>
    <x:row r="36" ht="48" customHeight="1">
      <x:c r="A36" s="21" t="n">
        <x:v>0</x:v>
      </x:c>
      <x:c r="B36" s="21" t="str">
        <x:v>Чародейский выброс</x:v>
      </x:c>
      <x:c r="C36" s="21" t="str">
        <x:v>SPELL-0315</x:v>
      </x:c>
      <x:c r="D36" s="21" t="str">
        <x:v>9c7cec56-53ed-43f1-8ba7-67d768cf28de</x:v>
      </x:c>
      <x:c r="E36" s="21" t="str">
        <x:v>Чародей</x:v>
      </x:c>
      <x:c r="F36" s="21" t="str">
        <x:v>Действие; active</x:v>
      </x:c>
      <x:c r="G36" s="21" t="str">
        <x:v>[{"resource":"action"}]</x:v>
      </x:c>
      <x:c r="H36" s="21" t="str">
        <x:v>Вы направляете чародейскую энергию на одно существо или объект в пределах дистанции. Совершите бросок дальнобойной атаки по цели. При попадании цель получает 1к8 урона типа по вашему выбору: Звук, Кислота, Огонь, Психическая энергия, Холод, Электричество или Яд. Если выпадет «8» на к8 для этого заклинания, дополнительно бросьте к8 и добавьте выпавшее значение к урону. При сотворении этого заклинания максимальное количество таких к8, которые вы можете добавить к урону заклинания, равно вашему модификатору заклинательной характеристики. | Activation: active; cost action | Targeting: {"filter":"any","range":"120 футов","shape":"single"} | Effects: [{"ability":"spellcasting","attack_kind":"spell_ranged","on_hit":[{"context":"in_play","count":1,"id":"sorcerous_burst_damage_type","kind":"choice","options":{"items":[{"grants":[{"dice":"1d8","explode":{"limit":"spellcasting"},"kind":"damage","s…</x:v>
      </x:c>
      <x:c r="I36" s="21" t="str">
        <x:v>verified_partial</x:v>
      </x:c>
      <x:c r="J36" s="42" t="str">
        <x:v>Passed</x:v>
      </x:c>
      <x:c r="K36" s="21" t="str">
        <x:v>420d2fbf-ce7b-490d-9f79-34fd209b8d1c</x:v>
      </x:c>
      <x:c r="L36" s="21" t="str">
        <x:v>PASS — production d9be461f60175e9660c168860cfbad2408d78c60. Sheet/combat/clarity PASS on clean Forge Sorcerer: Sound choice requested the correct exploding 3d8 chain, accepted 8/8/3 and dealt 19 thunder with one Action. Retained scene owner: 420d2fbf-ce7b-490d-9f79-34fd209b8d1c. Three dimensions confirmed: sheet/world usage where relevant, combat usage where relevant, and user-visible result clarity. Manual certificate: mini-mvp-cantrips-manual-v1.</x:v>
      </x:c>
    </x:row>
    <x:row r="37" ht="48" customHeight="1">
      <x:c r="A37" s="21" t="n">
        <x:v>0</x:v>
      </x:c>
      <x:c r="B37" s="21" t="str">
        <x:v>Чудотворство</x:v>
      </x:c>
      <x:c r="C37" s="21" t="str">
        <x:v>thaumaturgy</x:v>
      </x:c>
      <x:c r="D37" s="21" t="str">
        <x:v>8b708d7b-097e-4624-8a41-c8c8e00f044c</x:v>
      </x:c>
      <x:c r="E37" s="21" t="str">
        <x:v>Жрец</x:v>
      </x:c>
      <x:c r="F37" s="21" t="str">
        <x:v>Действие; active</x:v>
      </x:c>
      <x:c r="G37" s="21" t="str">
        <x:v>[{"resource":"action"}]</x:v>
      </x:c>
      <x:c r="H37" s="21" t="str">
        <x:v>Вы проявляете небольшое чудо в пределах дистанции. Вы создаёте один из приведённых ниже эффектов в пределах дистанции. При сотворении этого заклинания несколько раз вы можете иметь не более трёх активных эффектов с длительностью в 1 минуту одновременно. Изменённые глаза. Вы изменяете внешний вид своих глаз на 1 минуту. Раскатистый голос. Ваш голос звучит не более, чем в три раза громче обычного в течение 1 минуты. Пока заклинание активно, вы совершаете с Преимуществом проверки Харизмы (Запугивание). Игра с огнём. Вы заставляете пламя мерцать, светить ярче, тусклее или изменять цвет в течение 1 минуты. Невидимая рука. Вы мгновенно заставляете незапертое окно или дверь распахнуться или захлопнуться. Фантомный звук. Вы создаёте мгновенный звук, исходящий из выбранной вами точки в пределах дистанции, такой как раскат грома, крик ворона или зловещий шёпот. Дрожь. Вы вызываете безвредную дрож…</x:v>
      </x:c>
      <x:c r="I37" s="21" t="str">
        <x:v>verified_partial</x:v>
      </x:c>
      <x:c r="J37" s="42" t="str">
        <x:v>Passed</x:v>
      </x:c>
      <x:c r="K37" s="21" t="str">
        <x:v>a5a4a6f7-253c-405e-bdde-89e95e10564a</x:v>
      </x:c>
      <x:c r="L37" s="21" t="str">
        <x:v>PASS — production d9be461f60175e9660c168860cfbad2408d78c60. Sheet/combat/clarity PASS: Booming Voice spends one Action and applies the one-minute effect; recipient guidance explicitly says advantage on Intimidation. Other typed narrative options remain visible. Three dimensions confirmed: sheet/world usage where relevant, combat usage where relevant, and user-visible result clarity. Manual certificate: mini-mvp-cantrips-manual-v1.</x:v>
      </x:c>
    </x:row>
    <x:row r="38" ht="48" customHeight="1">
      <x:c r="A38" s="21" t="n">
        <x:v>0</x:v>
      </x:c>
      <x:c r="B38" s="21" t="str">
        <x:v>Электрошок</x:v>
      </x:c>
      <x:c r="C38" s="21" t="str">
        <x:v>SPELL-0319</x:v>
      </x:c>
      <x:c r="D38" s="21" t="str">
        <x:v>30530b80-5db9-4fd9-bae8-1cb092c05730</x:v>
      </x:c>
      <x:c r="E38" s="21" t="str">
        <x:v>Чародей, Волшебник</x:v>
      </x:c>
      <x:c r="F38" s="21" t="str">
        <x:v>Действие; active</x:v>
      </x:c>
      <x:c r="G38" s="21" t="str">
        <x:v>[{"resource":"action"}]</x:v>
      </x:c>
      <x:c r="H38" s="21" t="str">
        <x:v>Молния прыгает от вас к существу, которого вы пытаетесь коснуться. Совершите по цели рукопашную атаку заклинанием. При попадании цель получает [lightning]1к8:lightning:электричеством[/lightning] и не может совершать Провоцированные атаки до начала своего следующего хода. | Activation: active; cost action | Targeting: {"filter":"any","range":"Касание","shape":"single"} | Effects: [{"ability":"spellcasting","attack_kind":"spell_melee","on_hit":[{"dice":"1d8","kind":"damage","scaling":{"dice":"1d8","per":"character_level"},"type":"lightning"}],"resolution":"attack_roll","vs":"ac"}]</x:v>
      </x:c>
      <x:c r="I38" s="21" t="str">
        <x:v>verified_partial</x:v>
      </x:c>
      <x:c r="J38" s="42" t="str">
        <x:v>Passed</x:v>
      </x:c>
      <x:c r="K38" s="21" t="str">
        <x:v>3dfa1a6e-128b-43eb-bee0-45fd73722655</x:v>
      </x:c>
      <x:c r="L38" s="21" t="str">
        <x:v>PASS — production d9be461f60175e9660c168860cfbad2408d78c60. Sheet/combat/clarity PASS: melee spell hit, lightning damage, Action spend and “no opportunity attacks” consequence are visible; automated opportunity-attack suppression remains explicit partial scope. Three dimensions confirmed: sheet/world usage where relevant, combat usage where relevant, and user-visible result clarity. Manual certificate: mini-mvp-cantrips-manual-v1.</x:v>
      </x:c>
    </x:row>
    <x:row r="39" ht="48" customHeight="1">
      <x:c r="A39" s="21" t="n">
        <x:v>0</x:v>
      </x:c>
      <x:c r="B39" s="21" t="str">
        <x:v>Ядовитые брызги</x:v>
      </x:c>
      <x:c r="C39" s="21" t="str">
        <x:v>poison_spray</x:v>
      </x:c>
      <x:c r="D39" s="21" t="str">
        <x:v>7d0c00e7-0cfa-4f3f-8650-aac70150538c</x:v>
      </x:c>
      <x:c r="E39" s="21" t="str">
        <x:v>Друид, Чародей, Колдун, Волшебник</x:v>
      </x:c>
      <x:c r="F39" s="21" t="str">
        <x:v>Действие; active</x:v>
      </x:c>
      <x:c r="G39" s="21" t="str">
        <x:v>[{"resource":"action"}]</x:v>
      </x:c>
      <x:c r="H39" s="21" t="str">
        <x:v>Вы распыляете токсичный туман на существо в пределах дистанции. Совершите Дальнобойную атаку заклинанием по цели. При попадании цель получает [poison]1к12:poison:ядом[/poison]. | Activation: active; cost action | Targeting: {"actor_targets":true,"allowed_relations":["self","ally","enemy","neutral"],"domain":"actor","filter":"creature","max_targets":1,"min_targets":1,"range":"30 футов","range_ft":30,"requires_line_of_sight":true,"shape":"single"} | Effects: [{"ability":"spellcasting","attack_kind":"spell_ranged","on_hit":[{"dice":"1d12","kind":"damage","scaling":{"dice":"1d12","per":"character_level"},"type":"poison"}],"resolution":"attack_roll","vs":"ac"}]</x:v>
      </x:c>
      <x:c r="I39" s="21" t="str">
        <x:v>verified_partial</x:v>
      </x:c>
      <x:c r="J39" s="42" t="str">
        <x:v>Passed</x:v>
      </x:c>
      <x:c r="K39" s="21" t="str">
        <x:v>f8e7549a-fe5c-4347-9d90-a7e27bfe94b9; 8c450667-7ce4-4c81-a982-f7356cb8f7ab</x:v>
      </x:c>
      <x:c r="L39" s="21" t="str">
        <x:v>PASS — production d9be461f60175e9660c168860cfbad2408d78c60. Sheet/combat/clarity PASS: ranged spell attack, poison damage, Dwarven resistance, resource spend and localized journal math were observed and persisted. Three dimensions confirmed: sheet/world usage where relevant, combat usage where relevant, and user-visible result clarity. Manual certificate: mini-mvp-cantrips-manual-v1.</x:v>
      </x:c>
    </x:row>
    <x:row r="40" ht="48" customHeight="1">
      <x:c r="A40" s="21" t="n">
        <x:v>1</x:v>
      </x:c>
      <x:c r="B40" s="21" t="str">
        <x:v>Адское возмездие</x:v>
      </x:c>
      <x:c r="C40" s="21" t="str">
        <x:v>hellish_rebuke</x:v>
      </x:c>
      <x:c r="D40" s="21" t="str">
        <x:v>3f618918-5477-4526-a123-da9dda136c7e</x:v>
      </x:c>
      <x:c r="E40" s="21" t="str">
        <x:v>Колдун</x:v>
      </x:c>
      <x:c r="F40" s="21" t="str">
        <x:v>Реакция, совершаемая вами в ответ на получение урона от существа, находящегося в пределах 60 футов от вас и видимого вами; active</x:v>
      </x:c>
      <x:c r="G40" s="21" t="str">
        <x:v>[{"resource":"reaction"},{"amount":1,"level":1,"resource":"spell_slot"}]</x:v>
      </x:c>
      <x:c r="H40" s="21" t="str">
        <x:v>Существо, причинившее вам урон, мгновенно окружается зелёным пламенем. Оно совершает спасбросок Ловкости, получая [fire]2к10:fire:огнём[/fire] при провале, или половину этого урона при успехе. | Activation: active; cost reaction, 1× spell_slot L1 | Targeting: {"filter":"any","range":"60 футов","shape":"single"} | Effects: [{"ability":"dex","dc":"8 + prof + spellcasting","on_fail":[{"dice":"2d10","kind":"damage","scaling":{"dice":"1d10","per":"spell_slot_above"},"type":"fire"}],"on_success":[],"resolution":"save","who":"target"}]</x:v>
      </x:c>
      <x:c r="I40" s="21" t="str">
        <x:v>verified_partial</x:v>
      </x:c>
      <x:c r="J40" s="57" t="str">
        <x:v>Passed</x:v>
      </x:c>
      <x:c r="K40" s="21" t="str">
        <x:v>0fdc8692-d722-4080-9ebc-47a32891e5bd; 27220891-0790-4ae6-a648-78130870fce1</x:v>
      </x:c>
      <x:c r="L4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v>
      </x:c>
    </x:row>
    <x:row r="41" ht="48" customHeight="1">
      <x:c r="A41" s="21" t="n">
        <x:v>1</x:v>
      </x:c>
      <x:c r="B41" s="21" t="str">
        <x:v>Безмолвный образ</x:v>
      </x:c>
      <x:c r="C41" s="21" t="str">
        <x:v>SPELL-0161</x:v>
      </x:c>
      <x:c r="D41" s="21" t="str">
        <x:v>1fd05ad1-e78b-40cf-914b-aa1dca54e7f1</x:v>
      </x:c>
      <x:c r="E41" s="21" t="str">
        <x:v>Бард, Чародей, Волшебник</x:v>
      </x:c>
      <x:c r="F41" s="21" t="str">
        <x:v>Действие; active</x:v>
      </x:c>
      <x:c r="G41" s="21" t="str">
        <x:v>[{"resource":"action"},{"amount":1,"level":1,"resource":"spell_slot"}]</x:v>
      </x:c>
      <x:c r="H41" s="21" t="str">
        <x:v>Вы создаёте зрительный образ объекта, существа или иного явления размером не больше Куба со стороной 15 футов — без звуков, запахов и прочих ощущений. Действием Магия вы можете перемещать образ в пределах дистанции, меняя его вид, чтобы движение выглядело естественно. Физическое взаимодействие выдаёт иллюзию, так как сквозь неё всё проходит. Существо, исследующее образ действием Изучение, распознаёт обман, преуспев в проверке Интеллекта (Расследование) против СЛ ваших заклинаний. | Activation: active; cost action, 1× spell_slot L1 | Targeting: {"actor_targets":false,"allowed_relations":[],"area":{"kind":"cube","size_ft":15},"domain":"world","max_targets":1,"min_targets":0,"range_ft":60,"requires_line_of_sight":true,"shape":"area"} | Effects: [{"resolution":"auto","result":[{"control":{"operations":["move_illusion","change_appearance_for_natural_motion"],"range_ft":60,"resource":"action"…</x:v>
      </x:c>
      <x:c r="I41" s="21" t="str">
        <x:v>verified_partial</x:v>
      </x:c>
      <x:c r="J41" s="57" t="str">
        <x:v>Passed</x:v>
      </x:c>
      <x:c r="K41" s="21" t="str">
        <x:v>0fdc8692-d722-4080-9ebc-47a32891e5bd; 27220891-0790-4ae6-a648-78130870fce1</x:v>
      </x:c>
      <x:c r="L4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Состояние, обнаружение и управление иллюзией проверены; размещение и визуальная смена образа ещё не подключены к карте. Three dimensions confirmed where relevant. Manual approval: mini-mvp-level1-spells-manual-v1; stronger evidence-locked certificates are preserved.</x:v>
      </x:c>
    </x:row>
    <x:row r="42" ht="48" customHeight="1">
      <x:c r="A42" s="21" t="n">
        <x:v>1</x:v>
      </x:c>
      <x:c r="B42" s="21" t="str">
        <x:v>Благословение</x:v>
      </x:c>
      <x:c r="C42" s="21" t="str">
        <x:v>SPELL-0163</x:v>
      </x:c>
      <x:c r="D42" s="21" t="str">
        <x:v>33c69e7d-7524-421a-9d68-521e1b7fb57a</x:v>
      </x:c>
      <x:c r="E42" s="21" t="str">
        <x:v>Жрец, Паладин</x:v>
      </x:c>
      <x:c r="F42" s="21" t="str">
        <x:v>Действие; active</x:v>
      </x:c>
      <x:c r="G42" s="21" t="str">
        <x:v>[{"resource":"action"},{"amount":1,"level":1,"resource":"spell_slot"}]</x:v>
      </x:c>
      <x:c r="H42" s="21" t="str">
        <x:v>Вы благословляете не более трёх существ в пределах дистанции. Каждый раз, когда до окончания заклинания цель совершает бросок атаки или спасбросок, она добавляет 1к4 к результату. | Activation: active; cost action, 1× spell_slot L1 | Targeting: {"actor_targets":true,"allowed_relations":["self","ally","enemy","neutral"],"domain":"actor","filter":"creature","max_targets":3,"min_targets":1,"range":"30 футов","range_ft":30,"requires_line_of_sight":true,"shape":"multiple"} | Effects: [{"resolution":"auto","result":[{"applies_to":{"roll":"attack"},"duration":{"amount":10,"concentration":true,"type":"rounds"},"faces":4,"kind":"modifier","op":"bonus_die","source":"Благословение"},{"applies_to":{"roll":"saving_throw"},"duration":{"amount":10,"concentration":true,"type":"rounds"},"faces":4,"kind":"modifier","op":"bonus_die","source":"Благословение"}],"who":"target"}]</x:v>
      </x:c>
      <x:c r="I42" s="21" t="str">
        <x:v>verified_mechanical</x:v>
      </x:c>
      <x:c r="J42" s="57" t="str">
        <x:v>Passed</x:v>
      </x:c>
      <x:c r="K42" s="21" t="str">
        <x:v>0fdc8692-d722-4080-9ebc-47a32891e5bd; 27220891-0790-4ae6-a648-78130870fce1</x:v>
      </x:c>
      <x:c r="L42"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43" ht="48" customHeight="1">
      <x:c r="A43" s="21" t="n">
        <x:v>1</x:v>
      </x:c>
      <x:c r="B43" s="21" t="str">
        <x:v>Божественная кара</x:v>
      </x:c>
      <x:c r="C43" s="21" t="str">
        <x:v>SPELL-0164</x:v>
      </x:c>
      <x:c r="D43" s="21" t="str">
        <x:v>fe0a8d3c-318c-4308-9ff0-3838367f75e6</x:v>
      </x:c>
      <x:c r="E43" s="21" t="str">
        <x:v>Паладин</x:v>
      </x:c>
      <x:c r="F43" s="21" t="str">
        <x:v>Бонусное действие, которое вы совершаете сразу после попадания по цели Рукопашным оружием или Безоружным ударом.; triggered; trigger {"event":"hit"}</x:v>
      </x:c>
      <x:c r="G43" s="21" t="str">
        <x:v>[{"resource":"bonus_action"},{"amount":1,"level":1,"resource":"spell_slot"}]</x:v>
      </x:c>
      <x:c r="H43" s="21" t="str">
        <x:v>Цель получает дополнительно [radiant]2к8:radiant:излучением[/radiant] от атаки. Урон увеличивается на 1к8, если цель Исчадие или Нежить. | Activation: triggered; cost bonus_action, 1× spell_slot L1 | Trigger: {"event":"hit"} | Effects: [{"resolution":"auto","result":[{"dice":"2d8","kind":"damage","scaling":{"dice":"1d8","per":"spell_slot_above"},"type":"radiant"},{"description":"Если цель — Исчадие или Нежить, урон увеличивается на 1к8 (добавьте вручную).","kind":"narrative"}],"who":"target"}]</x:v>
      </x:c>
      <x:c r="I43" s="21" t="str">
        <x:v>verified_partial</x:v>
      </x:c>
      <x:c r="J43" s="57" t="str">
        <x:v>Passed</x:v>
      </x:c>
      <x:c r="K43" s="21" t="str">
        <x:v>e521c39b-5f3a-4c61-a78a-3f9bafb04a9f</x:v>
      </x:c>
      <x:c r="L43" s="21" t="str">
        <x:v>PASS — production runtime 04b137ac0e2a0bc5bdce0b224ec0d414bce50ec6. Combat PASS on retained Paladin e521c39b-5f3a-4c61-a78a-3f9bafb04a9f: the post-hit choice spent Bonus Action and a slot and dealt 10 radiant damage (5+5), with no unresolved decision left.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44" ht="48" customHeight="1">
      <x:c r="A44" s="21" t="n">
        <x:v>1</x:v>
      </x:c>
      <x:c r="B44" s="21" t="str">
        <x:v>Божественное благоволение</x:v>
      </x:c>
      <x:c r="C44" s="21" t="str">
        <x:v>SPELL-0165</x:v>
      </x:c>
      <x:c r="D44" s="21" t="str">
        <x:v>a66ca78f-af5f-4310-85c3-01c300e06581</x:v>
      </x:c>
      <x:c r="E44" s="21" t="str">
        <x:v>Паладин</x:v>
      </x:c>
      <x:c r="F44" s="21" t="str">
        <x:v>Бонусное действие; active</x:v>
      </x:c>
      <x:c r="G44" s="21" t="str">
        <x:v>[{"resource":"bonus_action"},{"amount":1,"level":1,"resource":"spell_slot"}]</x:v>
      </x:c>
      <x:c r="H44" s="21" t="str">
        <x:v>Пока заклинание активно, ваши атаки оружием наносят дополнительно [radiant]1к4:radiant:излучением[/radiant] при попадании. Легендарная ведьма Таша использует своё заклинание Бурлящий котёл Таши для приготовления волшебного зелья. | Activation: active; cost bonus_action, 1× spell_slot L1 | Targeting: {"actor_targets":false,"allowed_relations":["self"],"domain":"actor","max_targets":1,"min_targets":0,"range_ft":0,"requires_line_of_sight":false,"shape":"self"} | Effects: [{"resolution":"auto","result":[{"dice":"1d4","duration":{"amount":10,"type":"rounds"},"filter":{"attackKind":"weapon"},"kind":"damage_rider","stack_id":"spell:divine-favor","stack_type":"overwrite","trigger":"hit_by_attack_roll","type":"radiant"}]}]</x:v>
      </x:c>
      <x:c r="I44" s="21" t="str">
        <x:v>verified_partial</x:v>
      </x:c>
      <x:c r="J44" s="57" t="str">
        <x:v>Passed</x:v>
      </x:c>
      <x:c r="K44" s="21" t="str">
        <x:v>0fdc8692-d722-4080-9ebc-47a32891e5bd; 27220891-0790-4ae6-a648-78130870fce1</x:v>
      </x:c>
      <x:c r="L4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45" ht="48" customHeight="1">
      <x:c r="A45" s="21" t="n">
        <x:v>1</x:v>
      </x:c>
      <x:c r="B45" s="21" t="str">
        <x:v>Ведьмин снаряд</x:v>
      </x:c>
      <x:c r="C45" s="21" t="str">
        <x:v>SPELL-0167</x:v>
      </x:c>
      <x:c r="D45" s="21" t="str">
        <x:v>96a02044-6274-4e68-a06e-853c206824b8</x:v>
      </x:c>
      <x:c r="E45" s="21" t="str">
        <x:v>Чародей, Колдун, Волшебник</x:v>
      </x:c>
      <x:c r="F45" s="21" t="str">
        <x:v>Действие; active</x:v>
      </x:c>
      <x:c r="G45" s="21" t="str">
        <x:v>[{"resource":"action"},{"amount":1,"level":1,"resource":"spell_slot"}]</x:v>
      </x:c>
      <x:c r="H45" s="21" t="str">
        <x:v>молния) Длительность: Концентрация, вплоть до 1 минуты Луч потрескивающей энергии устремляется к существу в пределах дистанции, формируя между вами и целью непрерывный дуговой разряд. Совершите дальнобойную атаку заклинанием по цели. При попадании цель получает [lightning]2к12:lightning:электричеством[/lightning]. В каждый из ваших последующих ходов вы можете Бонусным действием автоматически нанести цели [lightning]1к12:lightning:электричеством[/lightning], даже если первая атака не попала. Заклинание заканчивается, если цель окажется за пределами дистанции заклинания или получит от вас Полное укрытие. | Activation: active; cost action, 1× spell_slot L1 | Targeting: {"filter":"any","range":"60 футов","shape":"single"} | Effects: [{"ability":"spellcasting","attack_kind":"spell_ranged","on_hit":[{"dice":"2d12","kind":"damage","scaling":{"dice":"1d12","per":"spell_slot_above"},"type":"ligh…</x:v>
      </x:c>
      <x:c r="I45" s="21" t="str">
        <x:v>verified_partial</x:v>
      </x:c>
      <x:c r="J45" s="57" t="str">
        <x:v>Passed</x:v>
      </x:c>
      <x:c r="K45" s="21" t="str">
        <x:v>0fdc8692-d722-4080-9ebc-47a32891e5bd; 27220891-0790-4ae6-a648-78130870fce1</x:v>
      </x:c>
      <x:c r="L4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46" ht="48" customHeight="1">
      <x:c r="A46" s="21" t="n">
        <x:v>1</x:v>
      </x:c>
      <x:c r="B46" s="21" t="str">
        <x:v>Волна грома</x:v>
      </x:c>
      <x:c r="C46" s="21" t="str">
        <x:v>SPELL-0171</x:v>
      </x:c>
      <x:c r="D46" s="21" t="str">
        <x:v>34518f38-b737-4a91-88ac-d5858d2d04a0</x:v>
      </x:c>
      <x:c r="E46" s="21" t="str">
        <x:v>Бард, Друид, Чародей, Волшебник</x:v>
      </x:c>
      <x:c r="F46" s="21" t="str">
        <x:v>Действие; active</x:v>
      </x:c>
      <x:c r="G46" s="21" t="str">
        <x:v>[{"resource":"action"},{"amount":1,"level":1,"resource":"spell_slot"}]</x:v>
      </x:c>
      <x:c r="H46" s="21" t="str">
        <x:v>Вы выпускаете на волю волну громовой энергии. Каждое существо в Кубе со стороной 15 футов, с центром на вас, совершает спасбросок Телосложения. При провале существо получает [thunder]2к8:thunder:звуком[/thunder] и толкается на 10 футов от вас. При успехе существо получает только половину этого урона. Кроме того, незакреплённые объекты, полностью находящиеся внутри Куба, толкаются на 10 футов от вас, а оглушительный грохот слышен на расстоянии 300 футов. | Activation: active; cost action, 1× spell_slot L1 | Targeting: {"actor_targets":true,"allowed_relations":["ally","enemy","neutral"],"area":{"kind":"cube","size_ft":15},"domain":"mixed","filter":"creature","max_targets":8,"min_targets":0,"range":"15 футов","range_ft":15,"requires_line_of_sight":false,"shape":"area"} | Effects: [{"ability":"con","dc":"8 + prof + spellcasting","on_fail":[{"dice":"2d8","kind":"damage","scaling":{"dice":"1d…</x:v>
      </x:c>
      <x:c r="I46" s="21" t="str">
        <x:v>verified_partial</x:v>
      </x:c>
      <x:c r="J46" s="57" t="str">
        <x:v>Passed</x:v>
      </x:c>
      <x:c r="K46" s="21" t="str">
        <x:v>0fdc8692-d722-4080-9ebc-47a32891e5bd; 27220891-0790-4ae6-a648-78130870fce1</x:v>
      </x:c>
      <x:c r="L46"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47" ht="48" customHeight="1">
      <x:c r="A47" s="21" t="n">
        <x:v>1</x:v>
      </x:c>
      <x:c r="B47" s="21" t="str">
        <x:v>Волшебная стрела</x:v>
      </x:c>
      <x:c r="C47" s="21" t="str">
        <x:v>SPELL-0174</x:v>
      </x:c>
      <x:c r="D47" s="21" t="str">
        <x:v>938a86fd-e0bf-4845-b4b3-acfe2fed2b59</x:v>
      </x:c>
      <x:c r="E47" s="21" t="str">
        <x:v>Чародей, Волшебник</x:v>
      </x:c>
      <x:c r="F47" s="21" t="str">
        <x:v>Действие; active</x:v>
      </x:c>
      <x:c r="G47" s="21" t="str">
        <x:v>[{"resource":"action"},{"amount":1,"level":1,"resource":"spell_slot"}]</x:v>
      </x:c>
      <x:c r="H47" s="21" t="str">
        <x:v>Вы создаёте три светящихся дротика из магической силы. Каждый дротик поражает существо по вашему выбору, которое вы можете видеть в пределах дистанции. Дротик наносит цели 1к4 + 1 урона Чистой силой. Все дротики атакуют одновременно, и вы можете направить их как в одно существо, так и в разных. | Activation: active; cost action, 1× spell_slot L1 | Targeting: {"actor_targets":true,"allowed_relations":["self","ally","enemy","neutral"],"domain":"actor","filter":"creature","max_targets":11,"min_targets":1,"range":"120 футов","range_ft":120,"requires_line_of_sight":true,"requires_sight":true,"shape":"multiple"} | Effects: []</x:v>
      </x:c>
      <x:c r="I47" s="21" t="str">
        <x:v>verified_partial</x:v>
      </x:c>
      <x:c r="J47" s="57" t="str">
        <x:v>Passed</x:v>
      </x:c>
      <x:c r="K47" s="21" t="str">
        <x:v>0fdc8692-d722-4080-9ebc-47a32891e5bd; 27220891-0790-4ae6-a648-78130870fce1</x:v>
      </x:c>
      <x:c r="L4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48" ht="48" customHeight="1">
      <x:c r="A48" s="21" t="n">
        <x:v>1</x:v>
      </x:c>
      <x:c r="B48" s="21" t="str">
        <x:v>Вызов на дуэль</x:v>
      </x:c>
      <x:c r="C48" s="21" t="str">
        <x:v>SPELL-0179</x:v>
      </x:c>
      <x:c r="D48" s="21" t="str">
        <x:v>d6a193e8-0204-4277-9a6a-75a86c2d15cd</x:v>
      </x:c>
      <x:c r="E48" s="21" t="str">
        <x:v>Паладин</x:v>
      </x:c>
      <x:c r="F48" s="21" t="str">
        <x:v>Бонусное действие; active</x:v>
      </x:c>
      <x:c r="G48" s="21" t="str">
        <x:v>[{"resource":"bonus_action"},{"amount":1,"level":1,"resource":"spell_slot"}]</x:v>
      </x:c>
      <x:c r="H48" s="21" t="str">
        <x:v>Вы пытаетесь вызвать существо на дуэль. Одно существо, которое вы можете видеть в пределах дистанции, совершает спасбросок Мудрости. При провале цель совершает с Помехой броски атаки по всем существам, кроме вас, и она не может добровольно переместиться в пространство, находящееся более чем в 30 футах от вас. Заклинание заканчивается, если вы совершаете бросок атаки по отличному от цели существу, если сотворяете заклинание на отличного от цели врага, если ваш союзник наносит цели урон, или если вы заканчиваете свой ход более чем в 30 футах от цели. | Activation: active; cost bonus_action, 1× spell_slot L1 | Targeting: {"actor_targets":true,"allowed_relations":["enemy","neutral"],"domain":"actor","max_targets":1,"min_targets":1,"range_ft":30,"requires_line_of_sight":true,"shape":"single"} | Effects: [{"ability":"wis","dc":"8 + prof + spellcasting","on_fail":[{"applies_to":{"roll":"attack…</x:v>
      </x:c>
      <x:c r="I48" s="21" t="str">
        <x:v>verified_mechanical</x:v>
      </x:c>
      <x:c r="J48" s="57" t="str">
        <x:v>Passed</x:v>
      </x:c>
      <x:c r="K48" s="21" t="str">
        <x:v>0fdc8692-d722-4080-9ebc-47a32891e5bd; 27220891-0790-4ae6-a648-78130870fce1</x:v>
      </x:c>
      <x:c r="L48"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Запрет добровольно уходить дальше 30 футов и досрочные условия завершения пока требуют авторитетного адаптера геометрии и союзников.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49" ht="48" customHeight="1">
      <x:c r="A49" s="21" t="n">
        <x:v>1</x:v>
      </x:c>
      <x:c r="B49" s="21" t="str">
        <x:v>Героизм</x:v>
      </x:c>
      <x:c r="C49" s="21" t="str">
        <x:v>SPELL-0181</x:v>
      </x:c>
      <x:c r="D49" s="21" t="str">
        <x:v>a4491a9d-8a2d-4212-abc1-c92d3f0b85ed</x:v>
      </x:c>
      <x:c r="E49" s="21" t="str">
        <x:v>Бард, Паладин</x:v>
      </x:c>
      <x:c r="F49" s="21" t="str">
        <x:v>Действие; active</x:v>
      </x:c>
      <x:c r="G49" s="21" t="str">
        <x:v>[{"resource":"action"},{"amount":1,"level":1,"resource":"spell_slot"}]</x:v>
      </x:c>
      <x:c r="H49" s="21" t="str">
        <x:v>Согласное существо, которого вы касаетесь, наполняется храбростью. Пока заклинание активно, существо получает иммунитет к состоянию [[Испуганный|effect:291c69ad-c87b-41b1-8728-b83f8fec9810]] и в начале каждого своего хода получает Временные хиты, равные вашему модификатору заклинательной характеристики. | Activation: active; cost action, 1× spell_slot L1 | Targeting: {"actor_targets":true,"allowed_relations":["self","ally"],"domain":"actor","max_targets":1,"min_targets":1,"range_ft":5,"requires_line_of_sight":false,"requires_touch":true,"shape":"single"} | Effects: [{"resolution":"auto","result":[{"condition":"frightened","duration":{"amount":10,"concentration":true,"type":"rounds"},"kind":"condition_immunity","stack_id":"spell:heroism:frightened-immunity","stack_type":"overwrite"},{"duration":{"amount":10,"concentration":true,"type":"rounds"},"effects":[{"resolution":"auto","result":[{…</x:v>
      </x:c>
      <x:c r="I49" s="21" t="str">
        <x:v>verified_mechanical</x:v>
      </x:c>
      <x:c r="J49" s="57" t="str">
        <x:v>Passed</x:v>
      </x:c>
      <x:c r="K49" s="21" t="str">
        <x:v>0fdc8692-d722-4080-9ebc-47a32891e5bd; 27220891-0790-4ae6-a648-78130870fce1</x:v>
      </x:c>
      <x:c r="L4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50" ht="48" customHeight="1">
      <x:c r="A50" s="21" t="n">
        <x:v>1</x:v>
      </x:c>
      <x:c r="B50" s="21" t="str">
        <x:v>Гневная кара</x:v>
      </x:c>
      <x:c r="C50" s="21" t="str">
        <x:v>SPELL-0183</x:v>
      </x:c>
      <x:c r="D50" s="21" t="str">
        <x:v>857500cb-45e7-4cce-9fd3-61116e10814f</x:v>
      </x:c>
      <x:c r="E50" s="21" t="str">
        <x:v>Паладин</x:v>
      </x:c>
      <x:c r="F50" s="21" t="str">
        <x:v>Бонусное действие, которое вы совершаете сразу после попадания по существу Рукопашным оружием или Безоружным ударом; active</x:v>
      </x:c>
      <x:c r="G50" s="21" t="str">
        <x:v>[{"resource":"bonus_action"},{"amount":1,"level":1,"resource":"spell_slot"}]</x:v>
      </x:c>
      <x:c r="H50" s="21" t="str">
        <x:v>Цель получает дополнительно [necrotic]1к6:necrotic:некротической энергией[/necrotic] от атаки, и она должна преуспеть в спасброске Мудрости, иначе станет [[Испуганной|effect:291c69ad-c87b-41b1-8728-b83f8fec9810]] до окончания действия заклинания. В конце каждого своего хода Испуганная цель повторяет спасбросок, заканчивая действие заклинания на себе при успехе. | Activation: active; cost bonus_action, 1× spell_slot L1 | Targeting: {"shape":"self"} | Effects: [{"resolution":"auto","result":[{"dice":"1d6","kind":"damage","scaling":{"dice":"1d6","per":"spell_slot_above"},"type":"necrotic"}]},{"ability":"wis","dc":"8 + prof + spellcasting","on_fail":[{"duration":{"amount":10,"type":"rounds"},"kind":"condition","op":"apply","save_ends":{"ability":"wis","dc":"8 + prof + spellcasting"},"value":"frightened"}],"on_success":[],"resolution":"save","who":"target"}]</x:v>
      </x:c>
      <x:c r="I50" s="21" t="str">
        <x:v>verified_partial</x:v>
      </x:c>
      <x:c r="J50" s="57" t="str">
        <x:v>Passed</x:v>
      </x:c>
      <x:c r="K50" s="21" t="str">
        <x:v>e521c39b-5f3a-4c61-a78a-3f9bafb04a9f</x:v>
      </x:c>
      <x:c r="L50" s="21" t="str">
        <x:v>PASS — production runtime 04b137ac0e2a0bc5bdce0b224ec0d414bce50ec6. Combat PASS on retained Paladin e521c39b-5f3a-4c61-a78a-3f9bafb04a9f: the post-hit choice spent Bonus Action and a slot, dealt 5 necrotic damage, and a failed WIS 11 vs DC 12 applied a visible Frightened effect.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51" ht="48" customHeight="1">
      <x:c r="A51" s="21" t="n">
        <x:v>1</x:v>
      </x:c>
      <x:c r="B51" s="21" t="str">
        <x:v>Град шипов</x:v>
      </x:c>
      <x:c r="C51" s="21" t="str">
        <x:v>SPELL-0185</x:v>
      </x:c>
      <x:c r="D51" s="21" t="str">
        <x:v>a438dcc1-94d0-420c-ae29-35b2cafd2f7a</x:v>
      </x:c>
      <x:c r="E51" s="21" t="str">
        <x:v>Следопыт</x:v>
      </x:c>
      <x:c r="F51" s="21" t="str">
        <x:v>Бонусное действие, которое вы совершаете сразу после попадания по существу Дальнобойным оружием; active</x:v>
      </x:c>
      <x:c r="G51" s="21" t="str">
        <x:v>[{"resource":"bonus_action"},{"amount":1,"level":1,"resource":"spell_slot"}]</x:v>
      </x:c>
      <x:c r="H51" s="21" t="str">
        <x:v>Аасимар Колдун сокрушает врагов всепоглощающим Голодом Хадара Когда вы попадаете по существу, заклинание создаёт град шипов, вылетающих из вашего Дальнобойного оружия или боеприпаса. Цель атаки и все существа в пределах 5 футов от неё, должны совершить спасбросок Ловкости, получая [piercing]1к10:piercing:колющего урона[/piercing] при провале, или половину этого урона при успехе. | Activation: active; cost bonus_action, 1× spell_slot L1 | Targeting: {"shape":"self"} | Effects: [{"ability":"dex","dc":"8 + prof + spellcasting","on_fail":[{"dice":"1d10","kind":"damage","on_success":"half","scaling":{"dice":"1d10","per":"spell_slot_above"},"type":"piercing"}],"on_success":[{"dice":"1d10","kind":"damage","on_success":"half","scaling":{"dice":"1d10","per":"spell_slot_above"},"type":"piercing"}],"resolution":"save","who":"target"},{"resolution":"auto","result":[{"description":"Спасбросок также …</x:v>
      </x:c>
      <x:c r="I51" s="21" t="str">
        <x:v>verified_partial</x:v>
      </x:c>
      <x:c r="J51" s="57" t="str">
        <x:v>Passed</x:v>
      </x:c>
      <x:c r="K51" s="21" t="str">
        <x:v>b43c121b-971b-4f92-8726-01c724d2734e</x:v>
      </x:c>
      <x:c r="L51" s="21" t="str">
        <x:v>PASS — production runtime 04b137ac0e2a0bc5bdce0b224ec0d414bce50ec6. Combat PASS on retained Ranger b43c121b-971b-4f92-8726-01c724d2734e: the post-hit choice appeared, Bonus Action and one level-1 slot were spent, the target save auto-resolved, and the journal showed 2 piercing damage on a successful save. The 5-ft secondary-target selection remains an explicit manual boundary and is stated to the user.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52" ht="48" customHeight="1">
      <x:c r="A52" s="21" t="n">
        <x:v>1</x:v>
      </x:c>
      <x:c r="B52" s="21" t="str">
        <x:v>Громовая кара</x:v>
      </x:c>
      <x:c r="C52" s="21" t="str">
        <x:v>SPELL-0186</x:v>
      </x:c>
      <x:c r="D52" s="21" t="str">
        <x:v>ae684edc-08c3-4f00-94ab-5c11c6b05f4e</x:v>
      </x:c>
      <x:c r="E52" s="21" t="str">
        <x:v>Паладин</x:v>
      </x:c>
      <x:c r="F52" s="21" t="str">
        <x:v>Бонусное действие, которое вы совершаете сразу после попадания по цели Рукопашным оружием или Безоружным ударом; active</x:v>
      </x:c>
      <x:c r="G52" s="21" t="str">
        <x:v>[{"resource":"bonus_action"},{"amount":1,"level":1,"resource":"spell_slot"}]</x:v>
      </x:c>
      <x:c r="H52" s="21" t="str">
        <x:v>Ваш удар сопровождается громовым рокотом, слышимым с расстояния 300 футов, и цель получает дополнительно [thunder]2к6:thunder:звуком[/thunder]. Кроме того, если цель — существо, она должна преуспеть в спасброске Силы, иначе будет оттолкнута на 10 футов от вас и станет [[Сбитой|effect:d7222978-b165-427c-b890-179db45a789f]] с ног. | Activation: active; cost bonus_action, 1× spell_slot L1 | Targeting: {"shape":"self"} | Effects: [{"resolution":"auto","result":[{"dice":"2d6","kind":"damage","scaling":{"dice":"1d6","per":"spell_slot_above"},"type":"thunder"}]},{"ability":"str","dc":"8 + prof + spellcasting","on_fail":[{"distance":10,"kind":"movement","value":"push"},{"kind":"condition","op":"apply","value":"prone"}],"on_success":[],"resolution":"save","who":"target"}]</x:v>
      </x:c>
      <x:c r="I52" s="21" t="str">
        <x:v>verified_partial</x:v>
      </x:c>
      <x:c r="J52" s="57" t="str">
        <x:v>Passed</x:v>
      </x:c>
      <x:c r="K52" s="21" t="str">
        <x:v>e521c39b-5f3a-4c61-a78a-3f9bafb04a9f</x:v>
      </x:c>
      <x:c r="L52" s="21" t="str">
        <x:v>PASS — production runtime 04b137ac0e2a0bc5bdce0b224ec0d414bce50ec6. Sheet and shared post-hit combat pipeline PASS on retained Paladin e521c39b-5f3a-4c61-a78a-3f9bafb04a9f. Trigger ownership, target, Bonus Action/slot spend, and outcome journaling are confirmed; automatic push/prone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53" ht="48" customHeight="1">
      <x:c r="A53" s="21" t="n">
        <x:v>1</x:v>
      </x:c>
      <x:c r="B53" s="21" t="str">
        <x:v>Диссонирующий шёпот</x:v>
      </x:c>
      <x:c r="C53" s="21" t="str">
        <x:v>SPELL-0187</x:v>
      </x:c>
      <x:c r="D53" s="21" t="str">
        <x:v>8821d595-ec03-42b8-aeaf-f50f7d72b726</x:v>
      </x:c>
      <x:c r="E53" s="21" t="str">
        <x:v>Бард</x:v>
      </x:c>
      <x:c r="F53" s="21" t="str">
        <x:v>Действие; active</x:v>
      </x:c>
      <x:c r="G53" s="21" t="str">
        <x:v>[{"resource":"action"},{"amount":1,"level":1,"resource":"spell_slot"}]</x:v>
      </x:c>
      <x:c r="H53" s="21" t="str">
        <x:v>Одно существо по вашему выбору, которое вы можете видеть в пределах дистанции, слышит в своём разуме нестройную мелодию. Цель совершает спасбросок Мудрости. При провале цель получает [psychic]3к6:psychic:психической энергией[/psychic] и должна немедленно использовать свою Реакцию, если возможно, чтобы переместиться прочь от вас как можно дальше, используя самый безопасный маршрут. При успехе цель получает только половину этого урона. | Activation: active; cost action, 1× spell_slot L1 | Targeting: {"filter":"any","range":"60 футов","shape":"single"} | Effects: [{"ability":"wis","dc":"8 + prof + spellcasting","on_fail":[{"dice":"3d6","kind":"damage","scaling":{"dice":"1d6","per":"spell_slot_above"},"type":"psychic"}],"on_success":[],"resolution":"save","who":"target"}]</x:v>
      </x:c>
      <x:c r="I53" s="21" t="str">
        <x:v>verified_partial</x:v>
      </x:c>
      <x:c r="J53" s="57" t="str">
        <x:v>Passed</x:v>
      </x:c>
      <x:c r="K53" s="21" t="str">
        <x:v>0fdc8692-d722-4080-9ebc-47a32891e5bd; 27220891-0790-4ae6-a648-78130870fce1</x:v>
      </x:c>
      <x:c r="L5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54" ht="48" customHeight="1">
      <x:c r="A54" s="21" t="n">
        <x:v>1</x:v>
      </x:c>
      <x:c r="B54" s="21" t="str">
        <x:v>Добряника</x:v>
      </x:c>
      <x:c r="C54" s="21" t="str">
        <x:v>SPELL-0188</x:v>
      </x:c>
      <x:c r="D54" s="21" t="str">
        <x:v>4291b817-6869-4f87-afae-5bd1a37aee3f</x:v>
      </x:c>
      <x:c r="E54" s="21" t="str">
        <x:v>Друид, Следопыт</x:v>
      </x:c>
      <x:c r="F54" s="21" t="str">
        <x:v>Действие; active</x:v>
      </x:c>
      <x:c r="G54" s="21" t="str">
        <x:v>[{"resource":"action"},{"amount":1,"level":1,"resource":"spell_slot"}]</x:v>
      </x:c>
      <x:c r="H54" s="21" t="str">
        <x:v>В вашей руке появляются десять ягод, наполненных магией на время длительности. Любое существо может Бонусным действием съесть одну ягоду. Ягода восстанавливает 1 Хит, и она настолько питательна, что насыщает существо на один день. Несъеденные ягоды исчезают, когда заклинание заканчивается. | Activation: active; cost action, 1× spell_slot L1 | Targeting: {"actor_targets":false,"allowed_relations":["self"],"domain":"actor","max_targets":1,"min_targets":0,"range_ft":0,"requires_line_of_sight":false,"shape":"self"} | Effects: [{"resolution":"auto","result":[{"consume_resource":"bonus_action","count":10,"duration":{"amount":14400,"type":"rounds"},"healing":1,"id":"goodberry","kind":"temporary_consumable","nourishment_days":1,"stack_id":"spell:goodberry","stack_type":"overwrite"}]}]</x:v>
      </x:c>
      <x:c r="I54" s="21" t="str">
        <x:v>verified_partial</x:v>
      </x:c>
      <x:c r="J54" s="57" t="str">
        <x:v>Passed</x:v>
      </x:c>
      <x:c r="K54" s="21" t="str">
        <x:v>0fdc8692-d722-4080-9ebc-47a32891e5bd; 27220891-0790-4ae6-a648-78130870fce1</x:v>
      </x:c>
      <x:c r="L5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Количество, срок, Бонусное действие, лечение и насыщение проверены; передача ягод другому существу ещё не подключена к инвентарю сцены. Three dimensions confirmed where relevant. Manual approval: mini-mvp-level1-spells-manual-v1; stronger evidence-locked certificates are preserved.</x:v>
      </x:c>
    </x:row>
    <x:row r="55" ht="48" customHeight="1">
      <x:c r="A55" s="21" t="n">
        <x:v>1</x:v>
      </x:c>
      <x:c r="B55" s="21" t="str">
        <x:v>Доспех Агатиса</x:v>
      </x:c>
      <x:c r="C55" s="21" t="str">
        <x:v>SPELL-0189</x:v>
      </x:c>
      <x:c r="D55" s="21" t="str">
        <x:v>f55f58e8-a6f9-4c97-ab6f-8e7f385591d0</x:v>
      </x:c>
      <x:c r="E55" s="21" t="str">
        <x:v>Колдун</x:v>
      </x:c>
      <x:c r="F55" s="21" t="str">
        <x:v>Бонусное действие; active</x:v>
      </x:c>
      <x:c r="G55" s="21" t="str">
        <x:v>[{"resource":"bonus_action"},{"amount":1,"level":1,"resource":"spell_slot"}]</x:v>
      </x:c>
      <x:c r="H55" s="21" t="str">
        <x:v>Вас окружает защитная магическая изморозь. Вы получаете 5 Временных хитов. Если существо попадает по вам рукопашной атакой, пока заклинание активно, оно получает 5 урона Холодом. Заклинание заканчивается досрочно, если у вас нет Временных хитов. | Activation: active; cost bonus_action, 1× spell_slot L1 | Targeting: {"actor_targets":false,"allowed_relations":["self"],"domain":"actor","max_targets":1,"min_targets":0,"range":"На себя","range_ft":0,"requires_line_of_sight":false,"shape":"self"} | Effects: [{"resolution":"auto","result":[{"amount":"5","kind":"temp_hp"}]}]</x:v>
      </x:c>
      <x:c r="I55" s="21" t="str">
        <x:v>verified_partial</x:v>
      </x:c>
      <x:c r="J55" s="57" t="str">
        <x:v>Passed</x:v>
      </x:c>
      <x:c r="K55" s="21" t="str">
        <x:v>0fdc8692-d722-4080-9ebc-47a32891e5bd; 27220891-0790-4ae6-a648-78130870fce1</x:v>
      </x:c>
      <x:c r="L5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56" ht="48" customHeight="1">
      <x:c r="A56" s="21" t="n">
        <x:v>1</x:v>
      </x:c>
      <x:c r="B56" s="21" t="str">
        <x:v>Доспехи мага</x:v>
      </x:c>
      <x:c r="C56" s="21" t="str">
        <x:v>SPELL-0190</x:v>
      </x:c>
      <x:c r="D56" s="21" t="str">
        <x:v>db6433bf-f779-4b65-8766-0feffefd1930</x:v>
      </x:c>
      <x:c r="E56" s="21" t="str">
        <x:v>Чародей, Волшебник</x:v>
      </x:c>
      <x:c r="F56" s="21" t="str">
        <x:v>Действие; active</x:v>
      </x:c>
      <x:c r="G56" s="21" t="str">
        <x:v>[{"resource":"action"},{"amount":1,"level":1,"resource":"spell_slot"}]</x:v>
      </x:c>
      <x:c r="H56" s="21" t="str">
        <x:v>Вы касаетесь согласного существа, которое не носит доспехов. Пока заклинание активно, базовый КЗ цели становится равным 13 + её модификатор Ловкости. Заклинание заканчивается, если цель надевает доспех. Голиаф колдун использует Доспех Агатиса и Руки Хадара в битве против врагов морских глубин | Activation: active; cost action, 1× spell_slot L1 | Targeting: {"actor_targets":true,"allowed_relations":["self","ally","enemy","neutral"],"domain":"actor","filter":"any","max_targets":1,"min_targets":1,"range":"Касание","range_ft":5,"requires_line_of_sight":false,"requires_touch":true,"requires_unarmored":true,"requires… | Effects: [{"resolution":"auto","result":[{"kind":"grant_effect","values":["EFFECT-0256"]}],"who":"target"}]</x:v>
      </x:c>
      <x:c r="I56" s="21" t="str">
        <x:v>verified_partial</x:v>
      </x:c>
      <x:c r="J56" s="57" t="str">
        <x:v>Passed</x:v>
      </x:c>
      <x:c r="K56" s="21" t="str">
        <x:v>0fdc8692-d722-4080-9ebc-47a32891e5bd; 27220891-0790-4ae6-a648-78130870fce1</x:v>
      </x:c>
      <x:c r="L56"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57" ht="48" customHeight="1">
      <x:c r="A57" s="21" t="n">
        <x:v>1</x:v>
      </x:c>
      <x:c r="B57" s="21" t="str">
        <x:v>Дружба с животными</x:v>
      </x:c>
      <x:c r="C57" s="21" t="str">
        <x:v>SPELL-0193</x:v>
      </x:c>
      <x:c r="D57" s="21" t="str">
        <x:v>c2e3cd80-463a-4a0f-a918-ed9a302efe5b</x:v>
      </x:c>
      <x:c r="E57" s="21" t="str">
        <x:v>Бард, Друид, Следопыт</x:v>
      </x:c>
      <x:c r="F57" s="21" t="str">
        <x:v>Действие; active</x:v>
      </x:c>
      <x:c r="G57" s="21" t="str">
        <x:v>[{"resource":"action"},{"amount":1,"level":1,"resource":"spell_slot"}]</x:v>
      </x:c>
      <x:c r="H57" s="21" t="str">
        <x:v>Выберите Зверя, которого вы видите в пределах дистанции. Цель должна преуспеть в спасброске Мудрости, иначе станет [[Очарованной|effect:ed7cc8d3-1af0-4af7-af13-046341f21491]] на время действия заклинания. Если вы или один из ваших союзников наносите урон цели, заклинание оканчивается. | Activation: active; cost action, 1× spell_slot L1 | Targeting: {"filter":"creature_type:beast","range":"30 футов","shape":"single"} | Effects: [{"ability":"wis","dc":"8 + prof + spellcasting","on_fail":[{"kind":"condition","op":"apply","value":"charmed"},{"description":"Очарование длится 24 часа; обрывается, если вы или ваши союзники нанесёте цели урон.","kind":"narrative"}],"on_success":[],"resolution":"save","who":"target"}]</x:v>
      </x:c>
      <x:c r="I57" s="21" t="str">
        <x:v>verified_partial</x:v>
      </x:c>
      <x:c r="J57" s="57" t="str">
        <x:v>Passed</x:v>
      </x:c>
      <x:c r="K57" s="21" t="str">
        <x:v>0fdc8692-d722-4080-9ebc-47a32891e5bd; 27220891-0790-4ae6-a648-78130870fce1</x:v>
      </x:c>
      <x:c r="L5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58" ht="48" customHeight="1">
      <x:c r="A58" s="21" t="n">
        <x:v>1</x:v>
      </x:c>
      <x:c r="B58" s="21" t="str">
        <x:v>Жуткий смех Таши</x:v>
      </x:c>
      <x:c r="C58" s="21" t="str">
        <x:v>SPELL-0199</x:v>
      </x:c>
      <x:c r="D58" s="21" t="str">
        <x:v>4abefac8-329b-4c70-a59a-84dca2d194d3</x:v>
      </x:c>
      <x:c r="E58" s="21" t="str">
        <x:v>Бард, Колдун, Волшебник</x:v>
      </x:c>
      <x:c r="F58" s="21" t="str">
        <x:v>Действие; active</x:v>
      </x:c>
      <x:c r="G58" s="21" t="str">
        <x:v>[{"resource":"action"},{"amount":1,"level":1,"resource":"spell_slot"}]</x:v>
      </x:c>
      <x:c r="H58" s="21" t="str">
        <x:v>Одно существо по вашему выбору, которое вы можете видеть в пределах дистанции, совершает спасбросок Мудрости. При провале оно становится [[Сбитым|effect:d7222978-b165-427c-b890-179db45a789f]] с ног и [[Недееспособным|effect:4561ee6d-aa86-49d1-8f84-2aab23bd2d9a]], пока заклинание активно. В течение этого времени оно бесконтрольно смеётся, если способно, и не может закончить на себе состояние Сбитый с ног. В конце каждого своего хода и каждый раз при получении урона оно совершает ещё один спасбросок Мудрости. У цели есть Преимущество к спасброску, если он был вызван получением урона. При успехе заклинание заканчивается. | Activation: active; cost action, 1× spell_slot L1 | Targeting: {"filter":"any","range":"30 футов","shape":"single"} | Effects: [{"ability":"wis","dc":"8 + prof + spellcasting","on_fail":[{"duration":{"amount":10,"type":"rounds"},"kind":"condition","op":"apply","save_ends…</x:v>
      </x:c>
      <x:c r="I58" s="21" t="str">
        <x:v>verified_partial</x:v>
      </x:c>
      <x:c r="J58" s="57" t="str">
        <x:v>Passed</x:v>
      </x:c>
      <x:c r="K58" s="21" t="str">
        <x:v>0fdc8692-d722-4080-9ebc-47a32891e5bd; 27220891-0790-4ae6-a648-78130870fce1</x:v>
      </x:c>
      <x:c r="L58"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59" ht="48" customHeight="1">
      <x:c r="A59" s="21" t="n">
        <x:v>1</x:v>
      </x:c>
      <x:c r="B59" s="21" t="str">
        <x:v>Защита от добра и зла</x:v>
      </x:c>
      <x:c r="C59" s="21" t="str">
        <x:v>SPELL-0201</x:v>
      </x:c>
      <x:c r="D59" s="21" t="str">
        <x:v>85b05dba-9662-43a2-afb9-050ce2bf6136</x:v>
      </x:c>
      <x:c r="E59" s="21" t="str">
        <x:v>Жрец, Друид, Паладин, Колдун, Волшебник</x:v>
      </x:c>
      <x:c r="F59" s="21" t="str">
        <x:v>Действие; active</x:v>
      </x:c>
      <x:c r="G59" s="21" t="str">
        <x:v>[{"resource":"action"},{"amount":1,"level":1,"resource":"spell_slot"}]</x:v>
      </x:c>
      <x:c r="H59" s="21" t="str">
        <x:v>25 ЗМ, расходуемая заклинанием) Длительность: Концентрация, вплоть до 10 минут Пока заклинание активно, одно согласное существо, которого вы коснулись, защищено от определённого вида существ: Аберрации, Исчадия, Небожители, Нежить, Феи или Элементали. Защита предоставляет несколько преимуществ. Существа выбранного типа совершают с Помехой броски атаки по цели. Цель также не может стать одержимой ими, либо быть им [[Очарованной|effect:ed7cc8d3-1af0-4af7-af13-046341f21491]] или [[Испуганной|effect:291c69ad-c87b-41b1-8728-b83f8fec9810]]. Если цель уже одержима или является Очарованной или Испуганной таким существом, она совершает последующие спасброски от таких эффектов с преимуществом. | Activation: active; cost action, 1× spell_slot L1 | Targeting: {"actor_targets":true,"allowed_relations":["self","ally"],"domain":"actor","max_targets":1,"min_targets":1,"range_ft":5,"requires_line_of_sig…</x:v>
      </x:c>
      <x:c r="I59" s="21" t="str">
        <x:v>verified_mechanical</x:v>
      </x:c>
      <x:c r="J59" s="57" t="str">
        <x:v>Passed</x:v>
      </x:c>
      <x:c r="K59" s="21" t="str">
        <x:v>0fdc8692-d722-4080-9ebc-47a32891e5bd; 27220891-0790-4ae6-a648-78130870fce1</x:v>
      </x:c>
      <x:c r="L5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Защита от одержимости и преимущество на новые спасброски против уже действующего Очарования, Испуга или одержимости требуют source-aware связи состояния с типом наложившего существа.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60" ht="48" customHeight="1">
      <x:c r="A60" s="21" t="n">
        <x:v>1</x:v>
      </x:c>
      <x:c r="B60" s="21" t="str">
        <x:v>Иллюзорные письмена</x:v>
      </x:c>
      <x:c r="C60" s="21" t="str">
        <x:v>SPELL-0206</x:v>
      </x:c>
      <x:c r="D60" s="21" t="str">
        <x:v>befe393c-7463-40df-a888-d74f1e6e186c</x:v>
      </x:c>
      <x:c r="E60" s="21" t="str">
        <x:v>Бард, Колдун, Волшебник</x:v>
      </x:c>
      <x:c r="F60" s="21" t="str">
        <x:v>1 минута; active</x:v>
      </x:c>
      <x:c r="G60" s="21" t="str">
        <x:v>[{"resource":"action"},{"amount":1,"level":1,"resource":"spell_slot"}]</x:v>
      </x:c>
      <x:c r="H60" s="21" t="str">
        <x:v>10 ЗМ, расходуемые заклинанием) Длительность: 10 дней Вы пишете на пергаменте, бумаге или другом подходящем материале и наполняете его иллюзией, существующей, пока активно заклинание. Для вас и всех существ, указанных вами при сотворении заклинания, письмена кажутся обычными, написанными вашей рукой и передающими тот самый смысл, который вкладывали вы. Для всех остальных письмена кажутся написанными на неизвестном или магическом языке, который невозможно прочитать. В качестве альтернативы иллюзия может поменять смысл, почерк или язык, но вы должны знать этот язык. Если рассеять это заклинание, исчезает и исходное письмо, и иллюзия. Существо, имеющее Истинное зрение, может читать скрытое послание. | Activation: active; cost action, 1× spell_slot L1 | Targeting: {"actor_targets":false,"allowed_relations":[],"domain":"world","max_targets":1,"min_targets":0,"range_ft":5,"requires_line_of_si…</x:v>
      </x:c>
      <x:c r="I60" s="21" t="str">
        <x:v>verified_partial</x:v>
      </x:c>
      <x:c r="J60" s="57" t="str">
        <x:v>Passed</x:v>
      </x:c>
      <x:c r="K60" s="21" t="str">
        <x:v>0fdc8692-d722-4080-9ebc-47a32891e5bd; 27220891-0790-4ae6-a648-78130870fce1</x:v>
      </x:c>
      <x:c r="L6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Политика чтения и жизненный цикл иллюзии проверены; текст документа, читатели и расход материального компонента остаются за адаптером предметов. Three dimensions confirmed where relevant. Manual approval: mini-mvp-level1-spells-manual-v1; stronger evidence-locked certificates are preserved.</x:v>
      </x:c>
    </x:row>
    <x:row r="61" ht="48" customHeight="1">
      <x:c r="A61" s="21" t="n">
        <x:v>1</x:v>
      </x:c>
      <x:c r="B61" s="21" t="str">
        <x:v>Ледяной кинжал</x:v>
      </x:c>
      <x:c r="C61" s="21" t="str">
        <x:v>SPELL-0212</x:v>
      </x:c>
      <x:c r="D61" s="21" t="str">
        <x:v>f1eb548c-2299-4f6f-9417-6dda19ded14c</x:v>
      </x:c>
      <x:c r="E61" s="21" t="str">
        <x:v>Друид, Чародей, Волшебник</x:v>
      </x:c>
      <x:c r="F61" s="21" t="str">
        <x:v>Действие; active</x:v>
      </x:c>
      <x:c r="G61" s="21" t="str">
        <x:v>[{"resource":"action"},{"amount":1,"level":1,"resource":"spell_slot"}]</x:v>
      </x:c>
      <x:c r="H61" s="21" t="str">
        <x:v>Вы создаёте осколок льда и бросаете его в одно существо в пределах дистанции. Совершите Дальнобойную атаку заклинанием по цели. При попадании цель получает [piercing]1к10:piercing:колющего урона[/piercing]. Независимо от того, попали вы или нет, осколок взрывается. Цель и все существа в пределах 5 футов от неё должны преуспеть в спасброске Ловкости, иначе получат [cold]2к6:cold:холодом[/cold]. | Activation: active; cost action, 1× spell_slot L1 | Targeting: {"filter":"any","range":"60 футов","shape":"single"} | Effects: [{"ability":"spellcasting","attack_kind":"spell_ranged","on_hit":[{"dice":"2d6","kind":"damage","scaling":{"dice":"1d6","per":"spell_slot_above"},"type":"cold"}],"resolution":"attack_roll","vs":"ac"}]</x:v>
      </x:c>
      <x:c r="I61" s="21" t="str">
        <x:v>verified_partial</x:v>
      </x:c>
      <x:c r="J61" s="57" t="str">
        <x:v>Passed</x:v>
      </x:c>
      <x:c r="K61" s="21" t="str">
        <x:v>0fdc8692-d722-4080-9ebc-47a32891e5bd; 27220891-0790-4ae6-a648-78130870fce1</x:v>
      </x:c>
      <x:c r="L6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62" ht="48" customHeight="1">
      <x:c r="A62" s="21" t="n">
        <x:v>1</x:v>
      </x:c>
      <x:c r="B62" s="21" t="str">
        <x:v>Лечащее слово</x:v>
      </x:c>
      <x:c r="C62" s="21" t="str">
        <x:v>SPELL-0213</x:v>
      </x:c>
      <x:c r="D62" s="21" t="str">
        <x:v>ddb5e045-045c-45ce-ab5e-4d6a489be913</x:v>
      </x:c>
      <x:c r="E62" s="21" t="str">
        <x:v>Бард, Жрец, Друид</x:v>
      </x:c>
      <x:c r="F62" s="21" t="str">
        <x:v>Бонусное действие; active</x:v>
      </x:c>
      <x:c r="G62" s="21" t="str">
        <x:v>[{"resource":"bonus_action"},{"amount":1,"level":1,"resource":"spell_slot"}]</x:v>
      </x:c>
      <x:c r="H62" s="21" t="str">
        <x:v>Существо по вашему выбору, которое вы можете видеть в пределах дистанции, восстанавливает количество Хитов, равное 2к4 плюс ваш модификатор заклинательной характеристики. | Activation: active; cost bonus_action, 1× spell_slot L1 | Targeting: {"filter":"any","range":"60 футов","shape":"single"} | Effects: [{"resolution":"auto","result":[{"amount":"2d4 + spellcasting","kind":"healing","scaling":{"dice":"2d4","per":"spell_slot_above"}}]}]</x:v>
      </x:c>
      <x:c r="I62" s="21" t="str">
        <x:v>verified_partial</x:v>
      </x:c>
      <x:c r="J62" s="57" t="str">
        <x:v>Passed</x:v>
      </x:c>
      <x:c r="K62" s="21" t="str">
        <x:v>0fdc8692-d722-4080-9ebc-47a32891e5bd; 27220891-0790-4ae6-a648-78130870fce1</x:v>
      </x:c>
      <x:c r="L62"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63" ht="48" customHeight="1">
      <x:c r="A63" s="21" t="n">
        <x:v>1</x:v>
      </x:c>
      <x:c r="B63" s="21" t="str">
        <x:v>Лечение ран</x:v>
      </x:c>
      <x:c r="C63" s="21" t="str">
        <x:v>SPELL-0214</x:v>
      </x:c>
      <x:c r="D63" s="21" t="str">
        <x:v>8d98d8f6-7085-48cd-b2a4-1f18cd8470d9</x:v>
      </x:c>
      <x:c r="E63" s="21" t="str">
        <x:v>Бард, Жрец, Друид, Паладин, Следопыт</x:v>
      </x:c>
      <x:c r="F63" s="21" t="str">
        <x:v>Действие; active</x:v>
      </x:c>
      <x:c r="G63" s="21" t="str">
        <x:v>[{"resource":"action"},{"amount":1,"level":1,"resource":"spell_slot"}]</x:v>
      </x:c>
      <x:c r="H63" s="21" t="str">
        <x:v>Существо, которого вы касаетесь, восстанавливает количество Хитов, равное 2к8 плюс ваш модификатор заклинательной характеристики. | Activation: active; cost action, 1× spell_slot L1 | Targeting: {"actor_targets":true,"allowed_relations":["self","ally","enemy","neutral"],"domain":"actor","filter":"any","max_targets":1,"min_targets":1,"range":"Касание","range_ft":5,"requires_line_of_sight":false,"requires_touch":true,"shape":"single"} | Effects: [{"resolution":"auto","result":[{"amount":"2d8 + spellcasting","kind":"healing","scaling":{"dice":"2d8","per":"spell_slot_above"}}],"who":"target"}]</x:v>
      </x:c>
      <x:c r="I63" s="21" t="str">
        <x:v>verified_partial</x:v>
      </x:c>
      <x:c r="J63" s="57" t="str">
        <x:v>Passed</x:v>
      </x:c>
      <x:c r="K63" s="21" t="str">
        <x:v>0fdc8692-d722-4080-9ebc-47a32891e5bd; 27220891-0790-4ae6-a648-78130870fce1</x:v>
      </x:c>
      <x:c r="L6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64" ht="48" customHeight="1">
      <x:c r="A64" s="21" t="n">
        <x:v>1</x:v>
      </x:c>
      <x:c r="B64" s="21" t="str">
        <x:v>Луч болезни</x:v>
      </x:c>
      <x:c r="C64" s="21" t="str">
        <x:v>ray_of_sickness</x:v>
      </x:c>
      <x:c r="D64" s="21" t="str">
        <x:v>92bcd9dd-2b4f-4264-9d8f-ba16722051e0</x:v>
      </x:c>
      <x:c r="E64" s="21" t="str">
        <x:v>Чародей, Волшебник</x:v>
      </x:c>
      <x:c r="F64" s="21" t="str">
        <x:v>Действие; active</x:v>
      </x:c>
      <x:c r="G64" s="21" t="str">
        <x:v>[{"resource":"action"},{"amount":1,"level":1,"resource":"spell_slot"}]</x:v>
      </x:c>
      <x:c r="H64" s="21" t="str">
        <x:v>Луч зеленоватой энергии устремляется к существу, находящемуся в пределах дистанции. Совершите Дальнобойную атаку заклинанием по цели. При попадании цель получает [poison]2к8:poison:ядом[/poison] и становится [[Отравленной|effect:b22482db-5254-4528-b873-ecf41fc13c30]] до конца вашего следующего хода. | Activation: active; cost action, 1× spell_slot L1 | Targeting: {"filter":"any","range":"60 футов","shape":"single"} | Effects: [{"ability":"spellcasting","attack_kind":"spell_ranged","on_hit":[{"dice":"2d8","kind":"damage","scaling":{"dice":"1d8","per":"spell_slot_above"},"type":"poison"}],"resolution":"attack_roll","vs":"ac"}]</x:v>
      </x:c>
      <x:c r="I64" s="21" t="str">
        <x:v>verified_partial</x:v>
      </x:c>
      <x:c r="J64" s="57" t="str">
        <x:v>Passed</x:v>
      </x:c>
      <x:c r="K64" s="21" t="str">
        <x:v>0fdc8692-d722-4080-9ebc-47a32891e5bd; 27220891-0790-4ae6-a648-78130870fce1</x:v>
      </x:c>
      <x:c r="L6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65" ht="48" customHeight="1">
      <x:c r="A65" s="21" t="n">
        <x:v>1</x:v>
      </x:c>
      <x:c r="B65" s="21" t="str">
        <x:v>Маскировка</x:v>
      </x:c>
      <x:c r="C65" s="21" t="str">
        <x:v>SPELL-0222</x:v>
      </x:c>
      <x:c r="D65" s="21" t="str">
        <x:v>5a8cc8b7-8f5c-49d7-a66d-ba31a273c65c</x:v>
      </x:c>
      <x:c r="E65" s="21" t="str">
        <x:v>Бард, Чародей, Волшебник</x:v>
      </x:c>
      <x:c r="F65" s="21" t="str">
        <x:v>Действие; active</x:v>
      </x:c>
      <x:c r="G65" s="21" t="str">
        <x:v>[{"resource":"action"},{"amount":1,"level":1,"resource":"spell_slot"}]</x:v>
      </x:c>
      <x:c r="H65" s="21" t="str">
        <x:v>Человек друид накладывает заклинание малое восстановление, чтобы облегчить страдания друга, [[отравленного|effect:b22482db-5254-4528-b873-ecf41fc13c30]] в бою Вы заставляете себя — включая одежду, доспехи, оружие и прочее имущество — выглядеть иначе, пока заклинание активно. Вы можете выглядеть на 1 фут выше или ниже, либо стать худым или толстым. Ваш новый облик должен иметь такой же набор конечностей, что и вы. Во всём остальном характер иллюзии определяете вы. Изменения, вызванные этим заклинанием, не выдерживают проверку физическим исследованием. Например, если вы добавили этим заклинанием к своему снаряжению шляпу, объекты будут проходить сквозь неё, и любой, кто её коснётся, ничего не почувствует. Для обнаружения того, что вы замаскированы, существо должно действием Изучение обследовать вашу внешность и преуспеть в проверке Интеллекта (Расследование) против Сл спасброска ваших зак…</x:v>
      </x:c>
      <x:c r="I65" s="21" t="str">
        <x:v>verified_partial</x:v>
      </x:c>
      <x:c r="J65" s="57" t="str">
        <x:v>Passed</x:v>
      </x:c>
      <x:c r="K65" s="21" t="str">
        <x:v>0fdc8692-d722-4080-9ebc-47a32891e5bd; 27220891-0790-4ae6-a648-78130870fce1</x:v>
      </x:c>
      <x:c r="L6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Ограничения облика и обнаружение проверены; редактор внешности и физический контакт ещё не подключены к UI сцены. Three dimensions confirmed where relevant. Manual approval: mini-mvp-level1-spells-manual-v1; stronger evidence-locked certificates are preserved.</x:v>
      </x:c>
    </x:row>
    <x:row r="66" ht="48" customHeight="1">
      <x:c r="A66" s="21" t="n">
        <x:v>1</x:v>
      </x:c>
      <x:c r="B66" s="21" t="str">
        <x:v>Метка охотника</x:v>
      </x:c>
      <x:c r="C66" s="21" t="str">
        <x:v>SPELL-0223</x:v>
      </x:c>
      <x:c r="D66" s="21" t="str">
        <x:v>8c2702cd-4cfa-4c02-919a-178bd2196ca4</x:v>
      </x:c>
      <x:c r="E66" s="21" t="str">
        <x:v>Следопыт</x:v>
      </x:c>
      <x:c r="F66" s="21" t="str">
        <x:v>Бонусное действие; active</x:v>
      </x:c>
      <x:c r="G66" s="21" t="str">
        <x:v>[{"resource":"bonus_action"},{"amount":1,"level":1,"resource":"spell_slot"}]</x:v>
      </x:c>
      <x:c r="H66" s="21" t="str">
        <x:v>Вы волшебным образом объявляете своей добычей одно существо, которое можете видеть в пределах дистанции. Пока заклинание активно, вы наносите дополнительно [force]1к6:force:чистой силой[/force] при попадании по этой цели броском атаки. Вы также совершаете с преимуществом проверки Мудрости (Восприятие или Выживание), совершённые для её поиска. Если Хиты цели опускаются до 0, пока заклинание активно, вы можете Бонусным действием переместить метку на новое существо, которое можете видеть в пределах дистанции. | Activation: active; cost bonus_action, 1× spell_slot L1 | Targeting: {"actor_targets":true,"allowed_relations":["enemy","neutral"],"domain":"actor","max_targets":1,"min_targets":1,"range_ft":90,"requires_line_of_sight":true,"shape":"single"} | Effects: [{"resolution":"auto","result":[{"dice":"1d6","duration":{"amount":1,"concentration":true,"type":"hours"},"kind":"damage_rider","sco…</x:v>
      </x:c>
      <x:c r="I66" s="21" t="str">
        <x:v>verified_mechanical</x:v>
      </x:c>
      <x:c r="J66" s="57" t="str">
        <x:v>Passed</x:v>
      </x:c>
      <x:c r="K66" s="21" t="str">
        <x:v>0fdc8692-d722-4080-9ebc-47a32891e5bd; 27220891-0790-4ae6-a648-78130870fce1</x:v>
      </x:c>
      <x:c r="L66"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Преимущество на проверки Мудрости (Восприятие и Выживание) для поиска отмеченной цели и перенос метки после падения цели требуют явного выбора связанной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67" ht="48" customHeight="1">
      <x:c r="A67" s="21" t="n">
        <x:v>1</x:v>
      </x:c>
      <x:c r="B67" s="21" t="str">
        <x:v>Нанесение ран</x:v>
      </x:c>
      <x:c r="C67" s="21" t="str">
        <x:v>SPELL-0228</x:v>
      </x:c>
      <x:c r="D67" s="21" t="str">
        <x:v>487e3b6a-ac09-47dc-a7a7-08c17665c60f</x:v>
      </x:c>
      <x:c r="E67" s="21" t="str">
        <x:v>Жрец</x:v>
      </x:c>
      <x:c r="F67" s="21" t="str">
        <x:v>Действие; active</x:v>
      </x:c>
      <x:c r="G67" s="21" t="str">
        <x:v>[{"resource":"action"},{"amount":1,"level":1,"resource":"spell_slot"}]</x:v>
      </x:c>
      <x:c r="H67" s="21" t="str">
        <x:v>Существо, которого вы касаетесь, совершает спасбросок Телосложения, получая [necrotic]2к10:necrotic:некротической энергией[/necrotic] при провале или половину этого урона при успехе. | Activation: active; cost action, 1× spell_slot L1 | Targeting: {"filter":"any","range":"Касание","shape":"single"} | Effects: [{"ability":"con","dc":"8 + prof + spellcasting","on_fail":[{"dice":"2d10","kind":"damage","scaling":{"dice":"1d10","per":"spell_slot_above"},"type":"necrotic"}],"on_success":[],"resolution":"save","who":"target"}]</x:v>
      </x:c>
      <x:c r="I67" s="21" t="str">
        <x:v>verified_partial</x:v>
      </x:c>
      <x:c r="J67" s="57" t="str">
        <x:v>Passed</x:v>
      </x:c>
      <x:c r="K67" s="21" t="str">
        <x:v>0fdc8692-d722-4080-9ebc-47a32891e5bd; 27220891-0790-4ae6-a648-78130870fce1</x:v>
      </x:c>
      <x:c r="L6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68" ht="48" customHeight="1">
      <x:c r="A68" s="21" t="n">
        <x:v>1</x:v>
      </x:c>
      <x:c r="B68" s="21" t="str">
        <x:v>Направляющий снаряд</x:v>
      </x:c>
      <x:c r="C68" s="21" t="str">
        <x:v>SPELL-0229</x:v>
      </x:c>
      <x:c r="D68" s="21" t="str">
        <x:v>851027a9-0b6a-49d1-9f61-5eef831bf297</x:v>
      </x:c>
      <x:c r="E68" s="21" t="str">
        <x:v>Жрец</x:v>
      </x:c>
      <x:c r="F68" s="21" t="str">
        <x:v>Действие; active</x:v>
      </x:c>
      <x:c r="G68" s="21" t="str">
        <x:v>[{"resource":"action"},{"amount":1,"level":1,"resource":"spell_slot"}]</x:v>
      </x:c>
      <x:c r="H68" s="21" t="str">
        <x:v>Вы направляете вспышку света в существо, в пределах дистанции. Совершите Дальнобойную атаку заклинанием по цели. При попадании цель получает [radiant]4к6:radiant:излучением[/radiant], и следующий бросок атаки по цели, совершённый до конца вашего следующего хода, совершается с Преимуществом. | Activation: active; cost action, 1× spell_slot L1 | Targeting: {"actor_targets":true,"allowed_relations":["self","ally","enemy","neutral"],"domain":"actor","filter":"creature","max_targets":1,"min_targets":1,"range":"120 футов","range_ft":120,"requires_line_of_sight":true,"shape":"single"} | Effects: [{"ability":"spellcasting","attack_kind":"spell_ranged","on_hit":[{"dice":"4d6","kind":"damage","scaling":{"dice":"1d6","per":"spell_slot_above"},"type":"radiant"},{"applies_to":{"roll":"attack"},"consume":"next","duration":{"type":"until_end_of_source_next_turn"},"kind":"modifier","op":"advantage","sc…</x:v>
      </x:c>
      <x:c r="I68" s="21" t="str">
        <x:v>verified_mechanical</x:v>
      </x:c>
      <x:c r="J68" s="57" t="str">
        <x:v>Passed</x:v>
      </x:c>
      <x:c r="K68" s="21" t="str">
        <x:v>0fdc8692-d722-4080-9ebc-47a32891e5bd; 27220891-0790-4ae6-a648-78130870fce1</x:v>
      </x:c>
      <x:c r="L68"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69" ht="48" customHeight="1">
      <x:c r="A69" s="21" t="n">
        <x:v>1</x:v>
      </x:c>
      <x:c r="B69" s="21" t="str">
        <x:v>Невидимый слуга</x:v>
      </x:c>
      <x:c r="C69" s="21" t="str">
        <x:v>SPELL-0232</x:v>
      </x:c>
      <x:c r="D69" s="21" t="str">
        <x:v>13018914-f220-48c5-8aff-902b1fbfff73</x:v>
      </x:c>
      <x:c r="E69" s="21" t="str">
        <x:v>Бард, Колдун, Волшебник</x:v>
      </x:c>
      <x:c r="F69" s="21" t="str">
        <x:v>Действие; active</x:v>
      </x:c>
      <x:c r="G69" s="21" t="str">
        <x:v>[{"resource":"action"},{"amount":1,"level":1,"resource":"spell_slot"}]</x:v>
      </x:c>
      <x:c r="H69" s="21" t="str">
        <x:v>Это заклинание создаёт невидимую, неосмысленную, бесформенную Среднюю силу, которая выполняет ваши простые приказы, пока заклинание активно. Слуга возникает в незанятом пространстве на земле в пределах дистанции. У него КЗ 10, 1 Хит и Сила 2, и он не может атаковать. Если его Хиты опускаются до 0, заклинание заканчивается. Один раз в каждом своём ходу вы можете Бонусным действием отдать команду слуге переместиться на расстояние не более 15 футов и совершить манипуляции с каким‑нибудь объектом. Слуга может выполнять простые задачи, доступные человеку, такие как подношение предметов, чистка, починка и складывание одежды, разжигание костра, подача пищи и разливание вина. Получив команду, слуга начинает её выполнять, стараясь изо всех сил, пока не выполнит, после чего начинает ждать вашу следующую команду. Если вы отдаёте слуге поручение, из-за которого тот окажется дальше чем в 60 футах от…</x:v>
      </x:c>
      <x:c r="I69" s="21" t="str">
        <x:v>verified_partial</x:v>
      </x:c>
      <x:c r="J69" s="57" t="str">
        <x:v>Passed</x:v>
      </x:c>
      <x:c r="K69" s="21" t="str">
        <x:v>0fdc8692-d722-4080-9ebc-47a32891e5bd; 27220891-0790-4ae6-a648-78130870fce1</x:v>
      </x:c>
      <x:c r="L6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Стат-блок, запрет атаки, команда, скорость и привязка проверены; отдельный актёр и токен слуги ещё не создаются на карте. Three dimensions confirmed where relevant. Manual approval: mini-mvp-level1-spells-manual-v1; stronger evidence-locked certificates are preserved.</x:v>
      </x:c>
    </x:row>
    <x:row r="70" ht="48" customHeight="1">
      <x:c r="A70" s="21" t="n">
        <x:v>1</x:v>
      </x:c>
      <x:c r="B70" s="21" t="str">
        <x:v>Обнаружение болезней и яда</x:v>
      </x:c>
      <x:c r="C70" s="21" t="str">
        <x:v>SPELL-0236</x:v>
      </x:c>
      <x:c r="D70" s="21" t="str">
        <x:v>a8bb857d-cfaf-49d4-9f95-04a71a997a03</x:v>
      </x:c>
      <x:c r="E70" s="21" t="str">
        <x:v>Жрец, Друид, Паладин, Следопыт</x:v>
      </x:c>
      <x:c r="F70" s="21" t="str">
        <x:v>Действие; active</x:v>
      </x:c>
      <x:c r="G70" s="21" t="str">
        <x:v>[{"resource":"action"},{"amount":1,"level":1,"resource":"spell_slot"}]</x:v>
      </x:c>
      <x:c r="H70" s="21" t="str">
        <x:v>Пока заклинание активно, вы чувствуете местоположение ядов, ядовитых существ и магических заражений в пределах 30 футов. Вы распознаёте тип яда, существа и заражения для каждого источника. Заклинание блокируется 1 футом камня, грязи или дерева; 1 дюймом металла; или тонким листом свинца. | Activation: active; cost action, 1× spell_slot L1 | Targeting: {"actor_targets":false,"allowed_relations":["self"],"area":{"kind":"emanation","radius_ft":30},"domain":"actor","max_targets":1,"min_targets":0,"range":"На себя","range_ft":0,"requires_line_of_sight":false,"shape":"self"} | Effects: [{"resolution":"auto","result":[]}]</x:v>
      </x:c>
      <x:c r="I70" s="21" t="str">
        <x:v>verified_partial</x:v>
      </x:c>
      <x:c r="J70" s="57" t="str">
        <x:v>Passed</x:v>
      </x:c>
      <x:c r="K70" s="21" t="str">
        <x:v>0fdc8692-d722-4080-9ebc-47a32891e5bd; 27220891-0790-4ae6-a648-78130870fce1</x:v>
      </x:c>
      <x:c r="L7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71" ht="48" customHeight="1">
      <x:c r="A71" s="21" t="n">
        <x:v>1</x:v>
      </x:c>
      <x:c r="B71" s="21" t="str">
        <x:v>Обнаружение добра и зла</x:v>
      </x:c>
      <x:c r="C71" s="21" t="str">
        <x:v>SPELL-0237</x:v>
      </x:c>
      <x:c r="D71" s="21" t="str">
        <x:v>c6f10945-84d5-422f-bb70-98177142d90e</x:v>
      </x:c>
      <x:c r="E71" s="21" t="str">
        <x:v>Жрец, Паладин</x:v>
      </x:c>
      <x:c r="F71" s="21" t="str">
        <x:v>Действие; active</x:v>
      </x:c>
      <x:c r="G71" s="21" t="str">
        <x:v>[{"resource":"action"},{"amount":1,"level":1,"resource":"spell_slot"}]</x:v>
      </x:c>
      <x:c r="H71" s="21" t="str">
        <x:v>Пока заклинание активно, вы чувствуете местоположение любой Аберрации, Исчадия, Нежити, Небожителя, Феи или Элементаля в пределах 30 футов. В этих пределах вы также чувствуете активное заклинание Святилище, если оно есть. Заклинание блокируется 1 футом камня, грязи или дерева; 1 дюймом металла; или тонким листом свинца. | Activation: active; cost action, 1× spell_slot L1 | Targeting: {"actor_targets":false,"allowed_relations":["self"],"domain":"actor","max_targets":1,"min_targets":0,"range_ft":0,"requires_line_of_sight":false,"shape":"self"} | Effects: [{"resolution":"auto","result":[{"capability":"detect_creature_types_and_hallow","duration":{"amount":100,"type":"rounds"},"kind":"information_access","policy":{"blockers":{"max_thickness_ft":{"dirt":1,"lead":0.001,"metal":0.0833333333,"stone":1,"wood":1}},"creature_types":["aberration","celestial","elemental","fey","fiend","undead"],"det…</x:v>
      </x:c>
      <x:c r="I71" s="21" t="str">
        <x:v>verified_partial</x:v>
      </x:c>
      <x:c r="J71" s="57" t="str">
        <x:v>Passed</x:v>
      </x:c>
      <x:c r="K71" s="21" t="str">
        <x:v>0fdc8692-d722-4080-9ebc-47a32891e5bd; 27220891-0790-4ae6-a648-78130870fce1</x:v>
      </x:c>
      <x:c r="L7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Типы существ, дальность и материальные блокеры проверены; карта ещё не передаёт движку типы и препятствия. Three dimensions confirmed where relevant. Manual approval: mini-mvp-level1-spells-manual-v1; stronger evidence-locked certificates are preserved.</x:v>
      </x:c>
    </x:row>
    <x:row r="72" ht="48" customHeight="1">
      <x:c r="A72" s="21" t="n">
        <x:v>1</x:v>
      </x:c>
      <x:c r="B72" s="21" t="str">
        <x:v>Обнаружение магии</x:v>
      </x:c>
      <x:c r="C72" s="21" t="str">
        <x:v>detect_magic</x:v>
      </x:c>
      <x:c r="D72" s="21" t="str">
        <x:v>25d868ad-0714-4fce-b5b2-2931dd5646bc</x:v>
      </x:c>
      <x:c r="E72" s="21" t="str">
        <x:v>Бард, Жрец, Друид, Паладин, Следопыт, Чародей, Колдун, Волшебник</x:v>
      </x:c>
      <x:c r="F72" s="21" t="str">
        <x:v>Действие; active</x:v>
      </x:c>
      <x:c r="G72" s="21" t="str">
        <x:v>[{"resource":"action"},{"amount":1,"level":1,"resource":"spell_slot"}]</x:v>
      </x:c>
      <x:c r="H72" s="21" t="str">
        <x:v>Пока заклинание активно, вы чувствуете присутствие магических эффектов в пределах 30 футов. Если вы почувствовали такой эффект, вы можете действием Магия увидеть слабую ауру вокруг видимого существа или объекта в области, несущей магию, и если эффект был создан заклинанием, вы узнаёте школу магии этого заклинания. Заклинание блокируется 1 футом камня, грязи или дерева; 1 дюймом металла; или тонким листом свинца. | Activation: active; cost action, 1× spell_slot L1 | Targeting: {"actor_targets":false,"allowed_relations":["self"],"area":{"kind":"emanation","radius_ft":30},"domain":"actor","max_targets":1,"min_targets":0,"range_ft":0,"requires_line_of_sight":false,"shape":"self"} | Effects: [{"resolution":"auto","result":[{"description":"Обнаружение магии: см. описание заклинания.","kind":"narrative"}]}]</x:v>
      </x:c>
      <x:c r="I72" s="21" t="str">
        <x:v>verified_partial</x:v>
      </x:c>
      <x:c r="J72" s="57" t="str">
        <x:v>Passed</x:v>
      </x:c>
      <x:c r="K72" s="21" t="str">
        <x:v>0fdc8692-d722-4080-9ebc-47a32891e5bd; 27220891-0790-4ae6-a648-78130870fce1</x:v>
      </x:c>
      <x:c r="L72"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v>
      </x:c>
    </x:row>
    <x:row r="73" ht="48" customHeight="1">
      <x:c r="A73" s="21" t="n">
        <x:v>1</x:v>
      </x:c>
      <x:c r="B73" s="21" t="str">
        <x:v>Обретение фамильяра</x:v>
      </x:c>
      <x:c r="C73" s="21" t="str">
        <x:v>SPELL-0241</x:v>
      </x:c>
      <x:c r="D73" s="21" t="str">
        <x:v>aa2adb3d-101b-4e70-97f1-69dc9f0debf8</x:v>
      </x:c>
      <x:c r="E73" s="21" t="str">
        <x:v>Волшебник</x:v>
      </x:c>
      <x:c r="F73" s="21" t="str">
        <x:v>1 час; active</x:v>
      </x:c>
      <x:c r="G73" s="21" t="str">
        <x:v>[{"resource":"action"},{"amount":1,"level":1,"resource":"spell_slot"},{"amount":10,"binding":{"currency":"gold","kind":"currency"},"recharge":"never","resource":"material_incense_gp"}]</x:v>
      </x:c>
      <x:c r="H73" s="21" t="str">
        <x:v>Вы получаете в услужение фамильяра — духа, принимающего облик животного по вашему выбору. | Activation: active; cost action, 1× spell_slot L1, 10× material_incense_gp | Targeting: {"actor_targets":false,"allowed_relations":["self"],"domain":"actor","filter":"self","max_targets":1,"min_targets":0,"range":"На себя","range_ft":0,"requires_line_of_sight":false,"shape":"self"} | Effects: []</x:v>
      </x:c>
      <x:c r="I73" s="21" t="str">
        <x:v>verified_partial</x:v>
      </x:c>
      <x:c r="J73" s="57" t="str">
        <x:v>Passed</x:v>
      </x:c>
      <x:c r="K73" s="21" t="str">
        <x:v>0fdc8692-d722-4080-9ebc-47a32891e5bd; 27220891-0790-4ae6-a648-78130870fce1</x:v>
      </x:c>
      <x:c r="L7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74" ht="48" customHeight="1">
      <x:c r="A74" s="21" t="n">
        <x:v>1</x:v>
      </x:c>
      <x:c r="B74" s="21" t="str">
        <x:v>Огненные ладони</x:v>
      </x:c>
      <x:c r="C74" s="21" t="str">
        <x:v>SPELL-0242</x:v>
      </x:c>
      <x:c r="D74" s="21" t="str">
        <x:v>732c2287-dd4d-46cd-9315-67447549abfa</x:v>
      </x:c>
      <x:c r="E74" s="21" t="str">
        <x:v>Чародей, Волшебник</x:v>
      </x:c>
      <x:c r="F74" s="21" t="str">
        <x:v>Действие; active</x:v>
      </x:c>
      <x:c r="G74" s="21" t="str">
        <x:v>[{"resource":"action"},{"amount":1,"level":1,"resource":"spell_slot"}]</x:v>
      </x:c>
      <x:c r="H74" s="21" t="str">
        <x:v>Из вас вырывается тонкая струя пламени. Все существа в 15‑футовом Конусе совершают спасбросок Ловкости, получая [fire]3к6:fire:огнём[/fire] при провале или половину этого урона при успехе. Легковоспламеняющиеся объекты в Конусе, которые никто не несёт и не носит, загораются. | Activation: active; cost action, 1× spell_slot L1 | Targeting: {"actor_targets":true,"allowed_relations":["ally","enemy","neutral"],"area":{"kind":"cone","size_ft":15},"domain":"mixed","filter":"creature","max_targets":8,"min_targets":0,"range":"15 футов","range_ft":15,"requires_line_of_sight":false,"shape":"area"} | Effects: [{"ability":"dex","dc":"8 + prof + spellcasting","on_fail":[{"dice":"3d6","kind":"damage","scaling":{"dice":"1d6","per":"spell_slot_above"},"type":"fire"}],"on_success":[{"dice":"3d6","kind":"damage","on_success":"half","scaling":{"dice":"1d6","per":"spell_slot_above"},"type":"fire"}],"resolu…</x:v>
      </x:c>
      <x:c r="I74" s="21" t="str">
        <x:v>verified_partial</x:v>
      </x:c>
      <x:c r="J74" s="57" t="str">
        <x:v>Passed</x:v>
      </x:c>
      <x:c r="K74" s="21" t="str">
        <x:v>0fdc8692-d722-4080-9ebc-47a32891e5bd; 27220891-0790-4ae6-a648-78130870fce1</x:v>
      </x:c>
      <x:c r="L7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75" ht="48" customHeight="1">
      <x:c r="A75" s="21" t="n">
        <x:v>1</x:v>
      </x:c>
      <x:c r="B75" s="21" t="str">
        <x:v>Огонь фей</x:v>
      </x:c>
      <x:c r="C75" s="21" t="str">
        <x:v>faerie_fire</x:v>
      </x:c>
      <x:c r="D75" s="21" t="str">
        <x:v>b132a28e-f6c9-4832-924b-1a680390e7fb</x:v>
      </x:c>
      <x:c r="E75" s="21" t="str">
        <x:v>Бард, Друид</x:v>
      </x:c>
      <x:c r="F75" s="21" t="str">
        <x:v>Действие; active</x:v>
      </x:c>
      <x:c r="G75" s="21" t="str">
        <x:v>[{"resource":"action"},{"amount":1,"level":1,"resource":"spell_slot"}]</x:v>
      </x:c>
      <x:c r="H75" s="21" t="str">
        <x:v>Объекты в Кубе с длиной ребра 20 футов в пределах дистанции подсвечиваются синим, зелёным или фиолетовым цветом (по вашему выбору). Все существа в Кубе тоже подсвечиваются, если проваливают спасбросок Ловкости. Пока заклинание активно, подсвеченные объекты и существа испускают Тусклый свет в пределах 10 футов и не могут получать преимущества от состояния [[Невидимый|effect:a33608fe-4378-465d-a81a-85920104ffc4]]. Броски атаки по затронутым существам и объектам совершаются с Преимуществом, если атакующий может видеть их. | Activation: active; cost action, 1× spell_slot L1 | Targeting: {"actor_targets":true,"allowed_relations":["self","ally","enemy","neutral"],"area":{"kind":"cube","size_ft":20},"domain":"mixed","max_targets":64,"min_targets":0,"range_ft":60,"requires_line_of_sight":true,"shape":"area"} | Effects: [{"ability":"dex","dc":"8 + prof + spellcasting","on_fail":[{"applies_to":{"…</x:v>
      </x:c>
      <x:c r="I75" s="21" t="str">
        <x:v>verified_mechanical</x:v>
      </x:c>
      <x:c r="J75" s="57" t="str">
        <x:v>Passed</x:v>
      </x:c>
      <x:c r="K75" s="21" t="str">
        <x:v>0fdc8692-d722-4080-9ebc-47a32891e5bd; 27220891-0790-4ae6-a648-78130870fce1</x:v>
      </x:c>
      <x:c r="L7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Затронутая цель излучает тусклый свет в радиусе 10 футов и не может получать преимущества от состояния «Невидимый»; свет и мировые объекты пока учитываются адаптером сцены.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76" ht="48" customHeight="1">
      <x:c r="A76" s="21" t="n">
        <x:v>1</x:v>
      </x:c>
      <x:c r="B76" s="21" t="str">
        <x:v>Опознание</x:v>
      </x:c>
      <x:c r="C76" s="21" t="str">
        <x:v>SPELL-0245</x:v>
      </x:c>
      <x:c r="D76" s="21" t="str">
        <x:v>8e26c8a3-c545-4524-98d5-35acc5d29ca5</x:v>
      </x:c>
      <x:c r="E76" s="21" t="str">
        <x:v>Бард, Волшебник</x:v>
      </x:c>
      <x:c r="F76" s="21" t="str">
        <x:v>1 минута; active</x:v>
      </x:c>
      <x:c r="G76" s="21" t="str">
        <x:v>[{"resource":"action"},{"amount":1,"level":1,"resource":"spell_slot"}]</x:v>
      </x:c>
      <x:c r="H76" s="21" t="str">
        <x:v>100 ЗМ) Длительность: Мгновенная Вы касаетесь объекта на протяжении всего времени сотворения заклинания. Если объект является магическим предметом или другим магическим объектом, вы узнаёте его свойства, способ их использования, требуется ли Настройка, и сколько осталось зарядов, если они есть. Вы узнаёте, действуют ли в данный момент заклинания на этот предмет, и что это за заклинания. Если предмет был создан заклинанием, вы узнаёте название этого заклинания. Если вы вместо этого во время сотворения заклинания касаетесь существа, вы узнаёте, какие заклинания в данный момент действуют на него. | Activation: active; cost action, 1× spell_slot L1 | Targeting: {"actor_targets":false,"allowed_relations":[],"domain":"world","max_targets":1,"min_targets":0,"range_ft":5,"requires_line_of_sight":true,"shape":"single"} | Effects: [{"resolution":"auto","result":[{"fields":["properties","usage","a…</x:v>
      </x:c>
      <x:c r="I76" s="21" t="str">
        <x:v>verified_partial</x:v>
      </x:c>
      <x:c r="J76" s="57" t="str">
        <x:v>Passed</x:v>
      </x:c>
      <x:c r="K76" s="21" t="str">
        <x:v>0fdc8692-d722-4080-9ebc-47a32891e5bd; 27220891-0790-4ae6-a648-78130870fce1</x:v>
      </x:c>
      <x:c r="L76"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Набор раскрываемых сведений типизирован; выбор объекта и проекция свойств реального предмета ещё не подключены к сцене. Three dimensions confirmed where relevant. Manual approval: mini-mvp-level1-spells-manual-v1; stronger evidence-locked certificates are preserved.</x:v>
      </x:c>
    </x:row>
    <x:row r="77" ht="48" customHeight="1">
      <x:c r="A77" s="21" t="n">
        <x:v>1</x:v>
      </x:c>
      <x:c r="B77" s="21" t="str">
        <x:v>Опутывание</x:v>
      </x:c>
      <x:c r="C77" s="21" t="str">
        <x:v>SPELL-0246</x:v>
      </x:c>
      <x:c r="D77" s="21" t="str">
        <x:v>b347be07-68e7-4cd1-8a5a-222e206711c2</x:v>
      </x:c>
      <x:c r="E77" s="21" t="str">
        <x:v>Друид, Следопыт</x:v>
      </x:c>
      <x:c r="F77" s="21" t="str">
        <x:v>Действие; active</x:v>
      </x:c>
      <x:c r="G77" s="21" t="str">
        <x:v>[{"resource":"action"},{"amount":1,"level":1,"resource":"spell_slot"}]</x:v>
      </x:c>
      <x:c r="H77" s="21" t="str">
        <x:v>Из земли в пределах дистанции в квадрате с длиной стороны в 20 футов вырастают цепкие травы. Пока заклинание активно, эти растения превращают землю в Труднопроходимую местность. Они исчезают, когда заклинание заканчивается. Все существа в этой области (кроме вас), когда вы сотворяете заклинание, должны преуспеть в спасброске Силы, иначе станут [[Опутанными|effect:a9ec9210-3c51-4cd4-b1c5-0f2761fb6108]] растениями до окончания действия заклинания. Опутанное существо может действием совершить проверку Силы (Атлетика) против Сл спасброска ваших заклинаний. При успехе оно освобождается от цепких растений и больше не Опутано ими. | Activation: active; cost action, 1× spell_slot L1 | Targeting: {"filter":"any","range":"90 футов","shape":"single"} | Effects: [{"ability":"str","dc":"8 + prof + spellcasting","on_fail":[{"duration":{"amount":10,"type":"rounds"},"kind":"condition","op":"apply","val…</x:v>
      </x:c>
      <x:c r="I77" s="21" t="str">
        <x:v>verified_partial</x:v>
      </x:c>
      <x:c r="J77" s="57" t="str">
        <x:v>Passed</x:v>
      </x:c>
      <x:c r="K77" s="21" t="str">
        <x:v>0fdc8692-d722-4080-9ebc-47a32891e5bd; 27220891-0790-4ae6-a648-78130870fce1</x:v>
      </x:c>
      <x:c r="L7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78" ht="48" customHeight="1">
      <x:c r="A78" s="21" t="n">
        <x:v>1</x:v>
      </x:c>
      <x:c r="B78" s="21" t="str">
        <x:v>Опутывающий удар</x:v>
      </x:c>
      <x:c r="C78" s="21" t="str">
        <x:v>SPELL-0247</x:v>
      </x:c>
      <x:c r="D78" s="21" t="str">
        <x:v>9afc306d-3f3d-4a05-8cb8-dfcd53b10b50</x:v>
      </x:c>
      <x:c r="E78" s="21" t="str">
        <x:v>Следопыт</x:v>
      </x:c>
      <x:c r="F78" s="21" t="str">
        <x:v>Бонусное действие, которое вы совершаете сразу после попадания оружием по существу; active</x:v>
      </x:c>
      <x:c r="G78" s="21" t="str">
        <x:v>[{"resource":"bonus_action"},{"amount":1,"level":1,"resource":"spell_slot"}]</x:v>
      </x:c>
      <x:c r="H78" s="21" t="str">
        <x:v>Когда вы попадаете по цели, на ней появляются извивающиеся лозы, и цель совершает спасбросок Силы. Существа Большого размера и больше совершают этот спасбросок с Преимуществом. При провале цель становится [[Опутанной|effect:a9ec9210-3c51-4cd4-b1c5-0f2761fb6108]] до конца действия заклинания. При успехе лозы увядают, и заклинание заканчивается. Будучи Опутанной, цель получает [piercing]1к6:piercing:колющего урона[/piercing] в начале каждого своего хода. Цель или существо в пределах своей досягаемости может действием совершить проверку Силы (Атлетика) против Сл спасброска ваших заклинаний. При успехе заклинание заканчивается. | Activation: active; cost bonus_action, 1× spell_slot L1 | Targeting: {"filter":"enemy","shape":"single"} | Effects: [{"ability":"str","dc":"8 + prof + spellcasting","on_fail":[{"duration":{"amount":10,"type":"rounds"},"kind":"condition","op":"apply","value":"restra…</x:v>
      </x:c>
      <x:c r="I78" s="21" t="str">
        <x:v>verified_partial</x:v>
      </x:c>
      <x:c r="J78" s="57" t="str">
        <x:v>Passed</x:v>
      </x:c>
      <x:c r="K78" s="21" t="str">
        <x:v>b43c121b-971b-4f92-8726-01c724d2734e</x:v>
      </x:c>
      <x:c r="L78" s="21" t="str">
        <x:v>PASS — production runtime 04b137ac0e2a0bc5bdce0b224ec0d414bce50ec6. Combat PASS on retained Ranger b43c121b-971b-4f92-8726-01c724d2734e: the post-hit choice spent Bonus Action and a slot; the Wolf failed STR 3 vs DC 12, gained the visible Restrained condition, and the inspector/journal explained ongoing 1d6 damage, the escape Athletics action, and size advantage.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79" ht="48" customHeight="1">
      <x:c r="A79" s="21" t="n">
        <x:v>1</x:v>
      </x:c>
      <x:c r="B79" s="21" t="str">
        <x:v>Очарование личности</x:v>
      </x:c>
      <x:c r="C79" s="21" t="str">
        <x:v>SPELL-0251</x:v>
      </x:c>
      <x:c r="D79" s="21" t="str">
        <x:v>a6c7db7d-f35c-4072-a5eb-29d4d58be93e</x:v>
      </x:c>
      <x:c r="E79" s="21" t="str">
        <x:v>Бард, Друид, Чародей, Колдун, Волшебник</x:v>
      </x:c>
      <x:c r="F79" s="21" t="str">
        <x:v>Действие; active</x:v>
      </x:c>
      <x:c r="G79" s="21" t="str">
        <x:v>[{"resource":"action"},{"amount":1,"level":1,"resource":"spell_slot"}]</x:v>
      </x:c>
      <x:c r="H79" s="21" t="str">
        <x:v>Один гуманоид, которого вы можете видеть в пределах дистанции, совершает спасбросок Мудрости. Он совершает его с Преимуществом, если вы или ваши союзники сражаетесь с ним. При провале цель становится [[Очарованной|effect:ed7cc8d3-1af0-4af7-af13-046341f21491]], пока заклинание не закончится или пока вы и ваши союзники не нанесёте ей урон. Очарованное существо становится к вам Дружелюбным. Когда заклинание заканчивается, цель знает, что она была Очарована вами. | Activation: active; cost action, 1× spell_slot L1 | Targeting: {"filter":"creature_type:humanoid","range":"30 футов","shape":"single"} | Effects: [{"ability":"wis","dc":"8 + prof + spellcasting","on_fail":[{"duration":{"amount":600,"type":"rounds"},"kind":"condition","op":"apply","value":"charmed"},{"description":"Очарованная цель Дружелюбна к вам. Заклинание заканчивается, если вы или ваши союзники нанесёте цели урон. Цель совер…</x:v>
      </x:c>
      <x:c r="I79" s="21" t="str">
        <x:v>verified_partial</x:v>
      </x:c>
      <x:c r="J79" s="57" t="str">
        <x:v>Passed</x:v>
      </x:c>
      <x:c r="K79" s="21" t="str">
        <x:v>0fdc8692-d722-4080-9ebc-47a32891e5bd; 27220891-0790-4ae6-a648-78130870fce1</x:v>
      </x:c>
      <x:c r="L7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80" ht="48" customHeight="1">
      <x:c r="A80" s="21" t="n">
        <x:v>1</x:v>
      </x:c>
      <x:c r="B80" s="21" t="str">
        <x:v>Очищение пищи и питья</x:v>
      </x:c>
      <x:c r="C80" s="21" t="str">
        <x:v>SPELL-0252</x:v>
      </x:c>
      <x:c r="D80" s="21" t="str">
        <x:v>677a3abf-5fc7-472f-b789-418dcba6dd88</x:v>
      </x:c>
      <x:c r="E80" s="21" t="str">
        <x:v>Жрец, Друид, Паладин</x:v>
      </x:c>
      <x:c r="F80" s="21" t="str">
        <x:v>Действие; active</x:v>
      </x:c>
      <x:c r="G80" s="21" t="str">
        <x:v>[{"resource":"action"},{"amount":1,"level":1,"resource":"spell_slot"}]</x:v>
      </x:c>
      <x:c r="H80" s="21" t="str">
        <x:v>Вы удаляете яды и гниль из немагической пищи и напитков в Сфере с радиусом 5 футов с центром в точке в пределах дистанции. | Activation: active; cost action, 1× spell_slot L1 | Targeting: {"actor_targets":false,"allowed_relations":[],"area":{"kind":"sphere","radius_ft":5},"domain":"world","filter":"any","max_targets":1,"min_targets":0,"range":"10 футов","range_ft":10,"requires_line_of_sight":false,"shape":"area"} | Effects: [{"resolution":"auto","result":[]}]</x:v>
      </x:c>
      <x:c r="I80" s="21" t="str">
        <x:v>verified_partial</x:v>
      </x:c>
      <x:c r="J80" s="57" t="str">
        <x:v>Passed</x:v>
      </x:c>
      <x:c r="K80" s="21" t="str">
        <x:v>0fdc8692-d722-4080-9ebc-47a32891e5bd; 27220891-0790-4ae6-a648-78130870fce1</x:v>
      </x:c>
      <x:c r="L8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81" ht="48" customHeight="1">
      <x:c r="A81" s="21" t="n">
        <x:v>1</x:v>
      </x:c>
      <x:c r="B81" s="21" t="str">
        <x:v>Падение пёрышком</x:v>
      </x:c>
      <x:c r="C81" s="21" t="str">
        <x:v>SPELL-0253</x:v>
      </x:c>
      <x:c r="D81" s="21" t="str">
        <x:v>33e73716-4d61-4669-b9d4-b0e2f6fcc63f</x:v>
      </x:c>
      <x:c r="E81" s="21" t="str">
        <x:v>Бард, Чародей, Волшебник</x:v>
      </x:c>
      <x:c r="F81" s="21" t="str">
        <x:v>Реакция, совершаемая вами, когда вы или существо, которое вы можете видеть в пределах 60 футов от вас, начинает падать; active</x:v>
      </x:c>
      <x:c r="G81" s="21" t="str">
        <x:v>[{"resource":"reaction"},{"amount":1,"level":1,"resource":"spell_slot"}]</x:v>
      </x:c>
      <x:c r="H81" s="21" t="str">
        <x:v>Выберите не более пяти падающих существ в пределах дистанции. До окончания действия заклинания их скорость падения уменьшается до 60 футов за раунд. Если такое существо приземлится до окончания действия заклинания, оно не получает урон от падения, и заклинание на нём заканчивается. | Activation: active; cost reaction, 1× spell_slot L1 | Targeting: {"actor_targets":true,"allowed_relations":["self","ally","enemy","neutral"],"domain":"actor","max_targets":5,"min_targets":1,"range_ft":60,"requires_line_of_sight":true,"shape":"multi"} | Effects: [{"resolution":"auto","result":[{"descent_per_round_ft":60,"duration":{"amount":10,"type":"rounds"},"ends_on_landing":true,"kind":"fall_protection","prevents_fall_damage":true,"stack_id":"spell:feather-fall","stack_type":"overwrite"}],"who":"target"}]</x:v>
      </x:c>
      <x:c r="I81" s="21" t="str">
        <x:v>verified_mechanical</x:v>
      </x:c>
      <x:c r="J81" s="57" t="str">
        <x:v>Passed</x:v>
      </x:c>
      <x:c r="K81" s="21" t="str">
        <x:v>0fdc8692-d722-4080-9ebc-47a32891e5bd; 27220891-0790-4ae6-a648-78130870fce1</x:v>
      </x:c>
      <x:c r="L8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окна активации. Three dimensions confirmed where relevant. Manual approval: mini-mvp-level1-spells-manual-v1; stronger evidence-locked certificates are preserved.</x:v>
      </x:c>
    </x:row>
    <x:row r="82" ht="48" customHeight="1">
      <x:c r="A82" s="21" t="n">
        <x:v>1</x:v>
      </x:c>
      <x:c r="B82" s="21" t="str">
        <x:v>Палящая кара</x:v>
      </x:c>
      <x:c r="C82" s="21" t="str">
        <x:v>SPELL-0254</x:v>
      </x:c>
      <x:c r="D82" s="21" t="str">
        <x:v>04dc8ba1-388f-4acc-ab4b-5a6784faeeaa</x:v>
      </x:c>
      <x:c r="E82" s="21" t="str">
        <x:v>Паладин</x:v>
      </x:c>
      <x:c r="F82" s="21" t="str">
        <x:v>Бонусное действие, которое вы совершаете сразу после попадания по цели Рукопашным оружием или Безоружным ударом; active</x:v>
      </x:c>
      <x:c r="G82" s="21" t="str">
        <x:v>[{"resource":"bonus_action"},{"amount":1,"level":1,"resource":"spell_slot"}]</x:v>
      </x:c>
      <x:c r="H82" s="21" t="str">
        <x:v>Когда вы попадаете по цели, она получает дополнительно [fire]1к6:fire:огнём[/fire] от этой атаки. В начале каждого из своих ходов, пока заклинание активно, цель получает [fire]1к6:fire:огнём[/fire] и после этого совершает спасбросок Телосложения. При провале заклинание продолжает действовать. При успехе заклинание заканчивается. | Activation: active; cost bonus_action, 1× spell_slot L1 | Targeting: {"shape":"self"} | Effects: [{"ability":"con","dc":"8 + prof + spellcasting","on_fail":[{"dice":"1d6","kind":"damage","scaling":{"dice":"1d6","per":"spell_slot_above"},"type":"fire"}],"on_success":[],"resolution":"save","who":"target"}]</x:v>
      </x:c>
      <x:c r="I82" s="21" t="str">
        <x:v>verified_partial</x:v>
      </x:c>
      <x:c r="J82" s="57" t="str">
        <x:v>Passed</x:v>
      </x:c>
      <x:c r="K82" s="21" t="str">
        <x:v>e521c39b-5f3a-4c61-a78a-3f9bafb04a9f</x:v>
      </x:c>
      <x:c r="L82" s="21" t="str">
        <x:v>PASS — production runtime 04b137ac0e2a0bc5bdce0b224ec0d414bce50ec6. Sheet and shared post-hit combat pipeline PASS on retained Paladin e521c39b-5f3a-4c61-a78a-3f9bafb04a9f. Trigger ownership, target, Bonus Action/slot spend, and outcome journaling are confirmed; recurring fire/ending-save lifecycle remains an explicit certified-partial boundary.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83" ht="48" customHeight="1">
      <x:c r="A83" s="21" t="n">
        <x:v>1</x:v>
      </x:c>
      <x:c r="B83" s="21" t="str">
        <x:v>Парящий диск Тензера</x:v>
      </x:c>
      <x:c r="C83" s="21" t="str">
        <x:v>SPELL-0256</x:v>
      </x:c>
      <x:c r="D83" s="21" t="str">
        <x:v>3b1316f0-02e7-496b-8146-602f4bd8284a</x:v>
      </x:c>
      <x:c r="E83" s="21" t="str">
        <x:v>Волшебник</x:v>
      </x:c>
      <x:c r="F83" s="21" t="str">
        <x:v>Действие; active</x:v>
      </x:c>
      <x:c r="G83" s="21" t="str">
        <x:v>[{"resource":"action"},{"amount":1,"level":1,"resource":"spell_slot"}]</x:v>
      </x:c>
      <x:c r="H83" s="21" t="str">
        <x:v>Вы создаёте горизонтальный диск из чистой силы диаметром 3 фута, парящий в 3 футах над полом. Диск несёт до 500 фунтов (при перегрузе исчезает, роняя груз) и существует, пока активно заклинание. Он неподвижен, пока вы в пределах 20 футов; если отойти дальше — следует за вами, огибая неровности, лестницы и склоны, но не преодолевая перепады высоты от 10 футов. Если удалиться от диска более чем на 100 футов, заклинание заканчивается. | Activation: active; cost action, 1× spell_slot L1 | Targeting: {"actor_targets":false,"allowed_relations":[],"domain":"world","max_targets":1,"min_targets":0,"range_ft":30,"requires_line_of_sight":true,"shape":"single"} | Effects: [{"resolution":"auto","result":[{"constraints":{"capacity_lb":500,"follow_beyond_ft":20,"follows_over":["uneven_terrain","stairs","slopes"],"max_distance_ft":100,"max_vertical_step_ft":10,"overload_ends_spell":true,"stationary_wit…</x:v>
      </x:c>
      <x:c r="I83" s="21" t="str">
        <x:v>verified_partial</x:v>
      </x:c>
      <x:c r="J83" s="57" t="str">
        <x:v>Passed</x:v>
      </x:c>
      <x:c r="K83" s="21" t="str">
        <x:v>0fdc8692-d722-4080-9ebc-47a32891e5bd; 27220891-0790-4ae6-a648-78130870fce1</x:v>
      </x:c>
      <x:c r="L8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Грузоподъёмность, дистанции и перепады высоты закреплены данными; автоматическое следование и сброс груза ещё не подключены к карте. Three dimensions confirmed where relevant. Manual approval: mini-mvp-level1-spells-manual-v1; stronger evidence-locked certificates are preserved.</x:v>
      </x:c>
    </x:row>
    <x:row r="84" ht="48" customHeight="1">
      <x:c r="A84" s="21" t="n">
        <x:v>1</x:v>
      </x:c>
      <x:c r="B84" s="21" t="str">
        <x:v>Понимание языков</x:v>
      </x:c>
      <x:c r="C84" s="21" t="str">
        <x:v>SPELL-0265</x:v>
      </x:c>
      <x:c r="D84" s="21" t="str">
        <x:v>bf6dbc16-d7bc-4abd-9a85-f204858b9396</x:v>
      </x:c>
      <x:c r="E84" s="21" t="str">
        <x:v>Бард, Чародей, Колдун, Волшебник</x:v>
      </x:c>
      <x:c r="F84" s="21" t="str">
        <x:v>Действие; active</x:v>
      </x:c>
      <x:c r="G84" s="21" t="str">
        <x:v>[{"resource":"action"},{"amount":1,"level":1,"resource":"spell_slot"}]</x:v>
      </x:c>
      <x:c r="H84" s="21" t="str">
        <x:v>Пока заклинание активно, вы понимаете буквальный смысл услышанной и увиденной жестовой речи на любом языке. Вы также понимаете письмена на любом языке, но для этого должны касаться поверхности, на которой записаны слова. Чтобы прочитать одну страницу текста, требуется около 1 минуты. Это заклинание не расшифровывает особые знаки или тайные послания. | Activation: active; cost action, 1× spell_slot L1 | Targeting: {"actor_targets":false,"allowed_relations":["self"],"domain":"actor","max_targets":1,"min_targets":0,"range_ft":0,"requires_line_of_sight":false,"shape":"self"} | Effects: [{"resolution":"auto","result":[{"capability":"literal_language_comprehension","duration":{"amount":600,"type":"rounds"},"kind":"information_access","policy":{"deciphers_secret_messages":false,"deciphers_special_symbols":false,"literal_meaning_only":true,"modes":["heard","signed","written"],"written_page_time…</x:v>
      </x:c>
      <x:c r="I84" s="21" t="str">
        <x:v>verified_partial</x:v>
      </x:c>
      <x:c r="J84" s="57" t="str">
        <x:v>Passed</x:v>
      </x:c>
      <x:c r="K84" s="21" t="str">
        <x:v>0fdc8692-d722-4080-9ebc-47a32891e5bd; 27220891-0790-4ae6-a648-78130870fce1</x:v>
      </x:c>
      <x:c r="L8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Режимы языка, касание и время чтения проверены; выбор текста и минутный прогресс чтения ещё не подключены к UI. Three dimensions confirmed where relevant. Manual approval: mini-mvp-level1-spells-manual-v1; stronger evidence-locked certificates are preserved.</x:v>
      </x:c>
    </x:row>
    <x:row r="85" ht="48" customHeight="1">
      <x:c r="A85" s="21" t="n">
        <x:v>1</x:v>
      </x:c>
      <x:c r="B85" s="21" t="str">
        <x:v>Порча</x:v>
      </x:c>
      <x:c r="C85" s="21" t="str">
        <x:v>SPELL-0267</x:v>
      </x:c>
      <x:c r="D85" s="21" t="str">
        <x:v>d7218ea6-2062-4ef3-8680-c8f9c657fda9</x:v>
      </x:c>
      <x:c r="E85" s="21" t="str">
        <x:v>Бард, Жрец, Колдун</x:v>
      </x:c>
      <x:c r="F85" s="21" t="str">
        <x:v>Действие; active</x:v>
      </x:c>
      <x:c r="G85" s="21" t="str">
        <x:v>[{"resource":"action"},{"amount":1,"level":1,"resource":"spell_slot"}]</x:v>
      </x:c>
      <x:c r="H85" s="21" t="str">
        <x:v>Не более трёх существ по вашему выбору, которых вы видите в пределах дистанции, должны совершить спасброски Харизмы. Пока заклинание активно, каждый раз, когда цель, провалившая этот спасбросок, совершает бросок атаки или спасбросок, она должна бросать 1к4 и вычитать это значение из результата броска атаки или спасброска. | Activation: active; cost action, 1× spell_slot L1 | Targeting: {"actor_targets":true,"allowed_relations":["enemy","neutral"],"domain":"actor","max_targets":3,"min_targets":1,"range_ft":30,"requires_line_of_sight":true,"shape":"multiple"} | Effects: [{"ability":"cha","dc":"8 + prof + spellcasting","on_fail":[{"applies_to":{"roll":"attack"},"duration":{"amount":10,"concentration":true,"type":"rounds"},"faces":4,"kind":"modifier","op":"bonus_die","sign":-1,"stack_id":"spell:bane:attack","stack_type":"overwrite"},{"applies_to":{"roll":"saving_throw"},"duration":{"amount"…</x:v>
      </x:c>
      <x:c r="I85" s="21" t="str">
        <x:v>verified_mechanical</x:v>
      </x:c>
      <x:c r="J85" s="57" t="str">
        <x:v>Passed</x:v>
      </x:c>
      <x:c r="K85" s="21" t="str">
        <x:v>0fdc8692-d722-4080-9ebc-47a32891e5bd; 27220891-0790-4ae6-a648-78130870fce1</x:v>
      </x:c>
      <x:c r="L8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86" ht="48" customHeight="1">
      <x:c r="A86" s="21" t="n">
        <x:v>1</x:v>
      </x:c>
      <x:c r="B86" s="21" t="str">
        <x:v>Поспешное отступление</x:v>
      </x:c>
      <x:c r="C86" s="21" t="str">
        <x:v>SPELL-0269</x:v>
      </x:c>
      <x:c r="D86" s="21" t="str">
        <x:v>bc90dc67-8fac-41b8-b3bf-a1e218013929</x:v>
      </x:c>
      <x:c r="E86" s="21" t="str">
        <x:v>Чародей, Волшебник</x:v>
      </x:c>
      <x:c r="F86" s="21" t="str">
        <x:v>Бонусное действие; active</x:v>
      </x:c>
      <x:c r="G86" s="21" t="str">
        <x:v>[{"resource":"bonus_action"},{"amount":1,"level":1,"resource":"spell_slot"}]</x:v>
      </x:c>
      <x:c r="H86" s="21" t="str">
        <x:v>Вы совершаете действие Рывок и можете совершать его Бонусным действием, пока заклинание активно. | Activation: active; cost bonus_action, 1× spell_slot L1 | Targeting: {"shape":"self"} | Effects: [{"resolution":"auto","result":[{"kind":"movement","value":"double"},{"description":"Пока заклинание активно (Концентрация, до 10 минут), вы можете совершать действие Рывок Бонусным действием.","kind":"narrative"}]}]</x:v>
      </x:c>
      <x:c r="I86" s="21" t="str">
        <x:v>verified_partial</x:v>
      </x:c>
      <x:c r="J86" s="57" t="str">
        <x:v>Passed</x:v>
      </x:c>
      <x:c r="K86" s="21" t="str">
        <x:v>0fdc8692-d722-4080-9ebc-47a32891e5bd; 27220891-0790-4ae6-a648-78130870fce1</x:v>
      </x:c>
      <x:c r="L86" s="21" t="str">
        <x:v>PASS — production runtime 04b137ac0e2a0bc5bdce0b224ec0d414bce50ec6. Sheet and action-cost clarity PASS. Combat approval is limited to its explicit typed guidance: the spell records concentration and the repeat Dash/Bonus Action contract, while automatic ongoing Dash-state mutation remains a declared certified-partial boundary. Declared boundary: Требуется повторная браузерная проверка. Three dimensions confirmed where relevant. Manual approval: mini-mvp-level1-spells-manual-v1; stronger evidence-locked certificates are preserved.</x:v>
      </x:c>
    </x:row>
    <x:row r="87" ht="48" customHeight="1">
      <x:c r="A87" s="21" t="n">
        <x:v>1</x:v>
      </x:c>
      <x:c r="B87" s="21" t="str">
        <x:v>Приказ</x:v>
      </x:c>
      <x:c r="C87" s="21" t="str">
        <x:v>SPELL-0272</x:v>
      </x:c>
      <x:c r="D87" s="21" t="str">
        <x:v>a931ec6f-40ad-4f5d-beb4-4893f3c66c08</x:v>
      </x:c>
      <x:c r="E87" s="21" t="str">
        <x:v>Бард, Жрец, Паладин</x:v>
      </x:c>
      <x:c r="F87" s="21" t="str">
        <x:v>Действие; active</x:v>
      </x:c>
      <x:c r="G87" s="21" t="str">
        <x:v>[{"resource":"action"},{"amount":1,"level":1,"resource":"spell_slot"}]</x:v>
      </x:c>
      <x:c r="H87" s="21" t="str">
        <x:v>Вы произносите команду из одного слова существу, которое можете видеть в пределах дистанции. Цель должна преуспеть в спасброске Мудрости, иначе в свой следующий ход будет исполнять эту команду. Выберите приказ из этих вариантов: Подойди. Цель перемещается к вам по кратчайшему и самому прямому маршруту, заканчивая свой ход, если оказывается в пределах 5 футов от вас. Брось. Цель бросает всё, что держит, и заканчивает ход. Убегай. Цель тратит свой ход на перемещение прочь от вас самым быстрым способом. Падай. Цель становится [[Сбитой|effect:d7222978-b165-427c-b890-179db45a789f]] с ног и заканчивает ход. Стой. В свой ход цель не двигается и не совершает действий и Бонусных действий. | Activation: active; cost action, 1× spell_slot L1 | Targeting: {"actor_targets":true,"allowed_relations":["enemy","neutral","ally"],"domain":"actor","max_targets":1,"min_targets":1,"range_ft":60,"requires_lin…</x:v>
      </x:c>
      <x:c r="I87" s="21" t="str">
        <x:v>verified_partial</x:v>
      </x:c>
      <x:c r="J87" s="57" t="str">
        <x:v>Passed</x:v>
      </x:c>
      <x:c r="K87" s="21" t="str">
        <x:v>0fdc8692-d722-4080-9ebc-47a32891e5bd; 27220891-0790-4ae6-a648-78130870fce1</x:v>
      </x:c>
      <x:c r="L8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88" ht="48" customHeight="1">
      <x:c r="A88" s="21" t="n">
        <x:v>1</x:v>
      </x:c>
      <x:c r="B88" s="21" t="str">
        <x:v>Прыжок</x:v>
      </x:c>
      <x:c r="C88" s="21" t="str">
        <x:v>SPELL-0274</x:v>
      </x:c>
      <x:c r="D88" s="21" t="str">
        <x:v>0cee5f3c-e943-46dd-96bc-ced618b90454</x:v>
      </x:c>
      <x:c r="E88" s="21" t="str">
        <x:v>Друид, Следопыт, Чародей, Волшебник</x:v>
      </x:c>
      <x:c r="F88" s="21" t="str">
        <x:v>Бонусное действие; active</x:v>
      </x:c>
      <x:c r="G88" s="21" t="str">
        <x:v>[{"resource":"bonus_action"},{"amount":1,"level":1,"resource":"spell_slot"}]</x:v>
      </x:c>
      <x:c r="H88" s="21" t="str">
        <x:v>Вы касаетесь согласного существа. Один раз в каждом своём ходу, пока заклинание активно, это существо может прыгать в высоту не более 30 футов, затратив на это 10 футов перемещения. | Activation: active; cost bonus_action, 1× spell_slot L1 | Targeting: {"actor_targets":true,"allowed_relations":["self","ally"],"domain":"actor","max_targets":1,"min_targets":1,"range_ft":5,"requires_line_of_sight":false,"requires_touch":true,"shape":"single"} | Effects: [{"resolution":"auto","result":[{"distance_ft":30,"duration":{"amount":10,"type":"rounds"},"id":"jump","kind":"movement_option","movement_cost_ft":10,"stack_id":"spell:jump","stack_type":"overwrite","uses":{"count":1,"per":"turn"}},{"description":"При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слота.","kind":"narrative"}],"who":…</x:v>
      </x:c>
      <x:c r="I88" s="21" t="str">
        <x:v>verified_mechanical</x:v>
      </x:c>
      <x:c r="J88" s="57" t="str">
        <x:v>Passed</x:v>
      </x:c>
      <x:c r="K88" s="21" t="str">
        <x:v>0fdc8692-d722-4080-9ebc-47a32891e5bd; 27220891-0790-4ae6-a648-78130870fce1</x:v>
      </x:c>
      <x:c r="L88"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сотворении ячейкой выше 1-го круга можно выбрать ещё одну цель за каждый дополнительный круг; масштабирование числа целей пока требует multi-target адаптера слота.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89" ht="48" customHeight="1">
      <x:c r="A89" s="21" t="n">
        <x:v>1</x:v>
      </x:c>
      <x:c r="B89" s="21" t="str">
        <x:v>Псевдожизнь</x:v>
      </x:c>
      <x:c r="C89" s="21" t="str">
        <x:v>false_life</x:v>
      </x:c>
      <x:c r="D89" s="21" t="str">
        <x:v>f3098f61-1ea7-4816-9819-1903388cfe06</x:v>
      </x:c>
      <x:c r="E89" s="21" t="str">
        <x:v>Чародей, Волшебник</x:v>
      </x:c>
      <x:c r="F89" s="21" t="str">
        <x:v>Действие; active</x:v>
      </x:c>
      <x:c r="G89" s="21" t="str">
        <x:v>[{"resource":"action"},{"amount":1,"level":1,"resource":"spell_slot"}]</x:v>
      </x:c>
      <x:c r="H89" s="21" t="str">
        <x:v>Вы получаете 2к4 + 4 Временных хитов. | Activation: active; cost action, 1× spell_slot L1 | Targeting: {"actor_targets":false,"allowed_relations":["self"],"domain":"actor","max_targets":1,"min_targets":0,"range_ft":0,"requires_line_of_sight":false,"shape":"self"} | Effects: [{"resolution":"auto","result":[{"amount":"2d4 + 4","kind":"temp_hp"}]}]</x:v>
      </x:c>
      <x:c r="I89" s="21" t="str">
        <x:v>verified_partial</x:v>
      </x:c>
      <x:c r="J89" s="57" t="str">
        <x:v>Passed</x:v>
      </x:c>
      <x:c r="K89" s="21" t="str">
        <x:v>0fdc8692-d722-4080-9ebc-47a32891e5bd; 27220891-0790-4ae6-a648-78130870fce1</x:v>
      </x:c>
      <x:c r="L8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90" ht="48" customHeight="1">
      <x:c r="A90" s="21" t="n">
        <x:v>1</x:v>
      </x:c>
      <x:c r="B90" s="21" t="str">
        <x:v>Разговор с животными</x:v>
      </x:c>
      <x:c r="C90" s="21" t="str">
        <x:v>SPELL-0277</x:v>
      </x:c>
      <x:c r="D90" s="21" t="str">
        <x:v>b6254e87-7bd3-4aaa-b937-5b793926128b</x:v>
      </x:c>
      <x:c r="E90" s="21" t="str">
        <x:v>Бард, Друид, Следопыт, Колдун</x:v>
      </x:c>
      <x:c r="F90" s="21" t="str">
        <x:v>Действие; active</x:v>
      </x:c>
      <x:c r="G90" s="21" t="str">
        <x:v>[{"resource":"action"},{"amount":1,"level":1,"resource":"spell_slot"}]</x:v>
      </x:c>
      <x:c r="H90" s="21" t="str">
        <x:v>Пока заклинание активно, вы получаете возможность понимать и устно общаться со Зверьми, а также использовать на них любую опцию действия Влияние. Большинство Зверей не особо общительны на темы, не связанные с выживанием или построением добрососедских отношений, но Зверь как минимум может дать вам сведения о близлежащей местности и чудовищах, в том числе о том, что он видел в последний день. | Activation: active; cost action, 1× spell_slot L1 | Targeting: {"actor_targets":false,"allowed_relations":["self"],"domain":"actor","max_targets":1,"min_targets":0,"range_ft":0,"requires_line_of_sight":false,"shape":"self"} | Effects: [{"resolution":"auto","result":[{"capability":"beast_communication_and_influence","duration":{"amount":100,"type":"rounds"},"kind":"information_access","policy":{"creature_types":["beast"],"minimum_knowledge":["nearby_locations","nearby_monsters","observations_last_da…</x:v>
      </x:c>
      <x:c r="I90" s="21" t="str">
        <x:v>verified_partial</x:v>
      </x:c>
      <x:c r="J90" s="57" t="str">
        <x:v>Passed</x:v>
      </x:c>
      <x:c r="K90" s="21" t="str">
        <x:v>0fdc8692-d722-4080-9ebc-47a32891e5bd; 27220891-0790-4ae6-a648-78130870fce1</x:v>
      </x:c>
      <x:c r="L9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Ограничение Зверьми, речь и доступ к Влиянию проверены; диалог и знания конкретного зверя остаются за адаптером сцены. Three dimensions confirmed where relevant. Manual approval: mini-mvp-level1-spells-manual-v1; stronger evidence-locked certificates are preserved.</x:v>
      </x:c>
    </x:row>
    <x:row r="91" ht="48" customHeight="1">
      <x:c r="A91" s="21" t="n">
        <x:v>1</x:v>
      </x:c>
      <x:c r="B91" s="21" t="str">
        <x:v>Руки Хадара</x:v>
      </x:c>
      <x:c r="C91" s="21" t="str">
        <x:v>SPELL-0283</x:v>
      </x:c>
      <x:c r="D91" s="21" t="str">
        <x:v>e75790cb-b03f-4a24-98a3-ef86a4756535</x:v>
      </x:c>
      <x:c r="E91" s="21" t="str">
        <x:v>Колдун</x:v>
      </x:c>
      <x:c r="F91" s="21" t="str">
        <x:v>Действие; active</x:v>
      </x:c>
      <x:c r="G91" s="21" t="str">
        <x:v>[{"resource":"action"},{"amount":1,"level":1,"resource":"spell_slot"}]</x:v>
      </x:c>
      <x:c r="H91" s="21" t="str">
        <x:v>Взывая к мощи Хадара, вы выпускаете щупальца из вашего тела. Каждое существо в пределах исходящей от вас 10‑футовой Эманации совершает спасбросок Силы. При провале цель получает [necrotic]2к6:necrotic:некротической энергией[/necrotic] и не может совершать Реакции до начала своего следующего хода. При успехе цель получает только половину этого урона. | Activation: active; cost action, 1× spell_slot L1 | Targeting: {"shape":"self"} | Effects: [{"ability":"str","dc":"8 + prof + spellcasting","on_fail":[{"dice":"2d6","kind":"damage","scaling":{"dice":"1d6","per":"spell_slot_above"},"type":"necrotic"}],"on_success":[],"resolution":"save","who":"target"}]</x:v>
      </x:c>
      <x:c r="I91" s="21" t="str">
        <x:v>verified_mechanical</x:v>
      </x:c>
      <x:c r="J91" s="57" t="str">
        <x:v>Passed</x:v>
      </x:c>
      <x:c r="K91" s="21" t="str">
        <x:v>0fdc8692-d722-4080-9ebc-47a32891e5bd; 27220891-0790-4ae6-a648-78130870fce1</x:v>
      </x:c>
      <x:c r="L9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
POLISH PASS — production a79f20b27d6bbc67f0cfd016344ff7ac46ea319d. The self-origin 10-foot emanation automatically selected exactly four nearby Wolves and excluded the caster; saves/results were visible and matched the description. Character ID: 0fdc8692-d722-4080-9ebc-47a32891e5bd.</x:v>
      </x:c>
    </x:row>
    <x:row r="92" ht="48" customHeight="1">
      <x:c r="A92" s="21" t="n">
        <x:v>1</x:v>
      </x:c>
      <x:c r="B92" s="21" t="str">
        <x:v>Сверкающие брызги</x:v>
      </x:c>
      <x:c r="C92" s="21" t="str">
        <x:v>SPELL-0284</x:v>
      </x:c>
      <x:c r="D92" s="21" t="str">
        <x:v>c5a6892f-d388-4075-9da6-6cfb0989ba26</x:v>
      </x:c>
      <x:c r="E92" s="21" t="str">
        <x:v>Бард, Чародей, Волшебник</x:v>
      </x:c>
      <x:c r="F92" s="21" t="str">
        <x:v>Действие; active</x:v>
      </x:c>
      <x:c r="G92" s="21" t="str">
        <x:v>[{"resource":"action"},{"amount":1,"level":1,"resource":"spell_slot"}]</x:v>
      </x:c>
      <x:c r="H92" s="21" t="str">
        <x:v>Вы выпускаете ослепительный поток мигающего разноцветного света. Каждое существо в 15‑футовом Конусе, исходящем от вас, должно преуспеть в спасброске Телосложения, иначе станет [[Ослеплённым|effect:d10dd048-8fb8-4321-8bbe-08dd61dd82a7]] до конца вашего следующего хода. | Activation: active; cost action, 1× spell_slot L1 | Targeting: {"filter":"any","range":"15 футов","shape":"single"} | Effects: [{"ability":"con","dc":"8 + prof + spellcasting","on_fail":[{"duration":{"amount":1,"type":"rounds"},"kind":"condition","op":"apply","value":"blinded"}],"on_success":[],"resolution":"save","who":"target"}]</x:v>
      </x:c>
      <x:c r="I92" s="21" t="str">
        <x:v>verified_mechanical</x:v>
      </x:c>
      <x:c r="J92" s="57" t="str">
        <x:v>Passed</x:v>
      </x:c>
      <x:c r="K92" s="21" t="str">
        <x:v>0fdc8692-d722-4080-9ebc-47a32891e5bd; 27220891-0790-4ae6-a648-78130870fce1</x:v>
      </x:c>
      <x:c r="L92"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
POLISH PASS — production a79f20b27d6bbc67f0cfd016344ff7ac46ea319d. The 15-foot cone selected exactly three Wolves; failed saves received visible Blinded with source and inspectable condition information. The implemented geometry and player-facing description agree. Character ID: 0fdc8692-d722-4080-9ebc-47a32891e5bd.</x:v>
      </x:c>
    </x:row>
    <x:row r="93" ht="48" customHeight="1">
      <x:c r="A93" s="21" t="n">
        <x:v>1</x:v>
      </x:c>
      <x:c r="B93" s="21" t="str">
        <x:v>Сглаз</x:v>
      </x:c>
      <x:c r="C93" s="21" t="str">
        <x:v>SPELL-0287</x:v>
      </x:c>
      <x:c r="D93" s="21" t="str">
        <x:v>b6cb9612-8dea-4949-bbd5-595bd5501beb</x:v>
      </x:c>
      <x:c r="E93" s="21" t="str">
        <x:v>Колдун</x:v>
      </x:c>
      <x:c r="F93" s="21" t="str">
        <x:v>Бонусное действие; active</x:v>
      </x:c>
      <x:c r="G93" s="21" t="str">
        <x:v>[{"resource":"bonus_action"},{"amount":1,"level":1,"resource":"spell_slot"}]</x:v>
      </x:c>
      <x:c r="H93" s="21" t="str">
        <x:v>Вы проклинаете существо, которое можете видеть в пределах дистанции. Пока заклинание активно, при каждом попадании по цели броском атаки вы наносите ей дополнительно [necrotic]1к6:necrotic:некротической энергией[/necrotic]. Кроме того, когда вы сотворяете заклинание, выберите одну характеристику. Цель совершает с Помехой проверки выбранной характеристики. Если Хиты цели опускаются до 0, пока заклинание активно, вы можете в свой следующий ход Бонусным действием проклясть новое существо. | Activation: active; cost bonus_action, 1× spell_slot L1 | Targeting: {"actor_targets":true,"allowed_relations":["enemy","neutral"],"domain":"actor","max_targets":1,"min_targets":1,"range_ft":90,"requires_line_of_sight":true,"shape":"single"} | Effects: [{"resolution":"auto","result":[{"context":"in_play","count":1,"id":"hex_ability","kind":"choice","options":{"items":[{"grants":[{"applies_to":{"filter":…</x:v>
      </x:c>
      <x:c r="I93" s="21" t="str">
        <x:v>verified_mechanical</x:v>
      </x:c>
      <x:c r="J93" s="57" t="str">
        <x:v>Passed</x:v>
      </x:c>
      <x:c r="K93" s="21" t="str">
        <x:v>0fdc8692-d722-4080-9ebc-47a32891e5bd; 27220891-0790-4ae6-a648-78130870fce1</x:v>
      </x:c>
      <x:c r="L9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Перенос Сглаза после падения цели требует отдельного Бонусного действия и выбора новой цели.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94" ht="48" customHeight="1">
      <x:c r="A94" s="21" t="n">
        <x:v>1</x:v>
      </x:c>
      <x:c r="B94" s="21" t="str">
        <x:v>Сигнал тревоги</x:v>
      </x:c>
      <x:c r="C94" s="21" t="str">
        <x:v>SPELL-0288</x:v>
      </x:c>
      <x:c r="D94" s="21" t="str">
        <x:v>ac198b93-04d7-4633-831e-b0050330cccf</x:v>
      </x:c>
      <x:c r="E94" s="21" t="str">
        <x:v>Следопыт, Волшебник</x:v>
      </x:c>
      <x:c r="F94" s="21" t="str">
        <x:v>1 минута; active</x:v>
      </x:c>
      <x:c r="G94" s="21" t="str">
        <x:v>[{"resource":"action"},{"amount":1,"level":1,"resource":"spell_slot"}]</x:v>
      </x:c>
      <x:c r="H94" s="21" t="str">
        <x:v>Вы устанавливаете сигнализацию на случай вторжения. Выберите дверь, окно или область в пределах дистанции не больше Куба со стороной 20 футов. До окончания действия заклинания тревога уведомляет вас каждый раз, когда существо касается охраняемой области или входит в неё. При сотворении заклинания вы можете указать существ, которые не будут вызывать срабатывание тревоги. Вы также выбираете, мысленной будет тревога или слышимой. Слышимая тревога. Сигнал тревоги звучит как колокольчик в течение 10 секунд в пределах 60 футов от охраняемой области. Мысленная тревога. В вашей голове раздаётся звон, если вы находитесь в пределах 1 мили от охраняемой области. Этот звон пробуждает вас, если вы спите. | Activation: active; cost action, 1× spell_slot L1 | Targeting: {"actor_targets":false,"allowed_relations":[],"area":{"kind":"cube","size_ft":20},"domain":"world","max_targets":1,"min_targets":0,"r…</x:v>
      </x:c>
      <x:c r="I94" s="21" t="str">
        <x:v>verified_partial</x:v>
      </x:c>
      <x:c r="J94" s="57" t="str">
        <x:v>Passed</x:v>
      </x:c>
      <x:c r="K94" s="21" t="str">
        <x:v>0fdc8692-d722-4080-9ebc-47a32891e5bd; 27220891-0790-4ae6-a648-78130870fce1</x:v>
      </x:c>
      <x:c r="L94"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Оба режима, дальности, исключения и срабатывание проверены; размещение зоны и автоматическое обнаружение входа ещё не подключены к карте. Three dimensions confirmed where relevant. Manual approval: mini-mvp-level1-spells-manual-v1; stronger evidence-locked certificates are preserved.</x:v>
      </x:c>
    </x:row>
    <x:row r="95" ht="48" customHeight="1">
      <x:c r="A95" s="21" t="n">
        <x:v>1</x:v>
      </x:c>
      <x:c r="B95" s="21" t="str">
        <x:v>Скороход</x:v>
      </x:c>
      <x:c r="C95" s="21" t="str">
        <x:v>longstrider</x:v>
      </x:c>
      <x:c r="D95" s="21" t="str">
        <x:v>f8ad3edb-c0e2-4321-9a91-172bf19e2ec7</x:v>
      </x:c>
      <x:c r="E95" s="21" t="str">
        <x:v>Бард, Друид, Следопыт, Волшебник</x:v>
      </x:c>
      <x:c r="F95" s="21" t="str">
        <x:v>Действие; active</x:v>
      </x:c>
      <x:c r="G95" s="21" t="str">
        <x:v>[{"resource":"action"},{"amount":1,"level":1,"resource":"spell_slot"}]</x:v>
      </x:c>
      <x:c r="H95" s="21" t="str">
        <x:v>Вы прикасаетесь к существу. Пока заклинание активно, Скорость цели увеличивается на 10 футов. | Activation: active; cost action, 1× spell_slot L1 | Targeting: {"filter":"ally_and_self","range":"Касание","shape":"single"} | Effects: [{"resolution":"auto","result":[{"distance":10,"kind":"movement","value":"extra_speed"},{"description":"Длительность 1 час. Апкаст: одна дополнительная цель за каждый уровень ячейки выше первого.","kind":"narrative"}]}]</x:v>
      </x:c>
      <x:c r="I95" s="21" t="str">
        <x:v>verified_partial</x:v>
      </x:c>
      <x:c r="J95" s="57" t="str">
        <x:v>Passed</x:v>
      </x:c>
      <x:c r="K95" s="21" t="str">
        <x:v>0fdc8692-d722-4080-9ebc-47a32891e5bd; 27220891-0790-4ae6-a648-78130870fce1</x:v>
      </x:c>
      <x:c r="L95"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96" ht="48" customHeight="1">
      <x:c r="A96" s="21" t="n">
        <x:v>1</x:v>
      </x:c>
      <x:c r="B96" s="21" t="str">
        <x:v>Смазка</x:v>
      </x:c>
      <x:c r="C96" s="21" t="str">
        <x:v>SPELL-0292</x:v>
      </x:c>
      <x:c r="D96" s="21" t="str">
        <x:v>2a6cab0a-ee77-4ac4-8148-80743fc8e8ea</x:v>
      </x:c>
      <x:c r="E96" s="21" t="str">
        <x:v>Чародей, Волшебник</x:v>
      </x:c>
      <x:c r="F96" s="21" t="str">
        <x:v>Действие; active</x:v>
      </x:c>
      <x:c r="G96" s="21" t="str">
        <x:v>[{"resource":"action"},{"amount":1,"level":1,"resource":"spell_slot"}]</x:v>
      </x:c>
      <x:c r="H96" s="21" t="str">
        <x:v>Негорючая смазка покрывает пол в квадрате с длиной стороны 10 футов с центром в точке в пределах дистанции, делая квадрат Труднопроходимой местностью, пока заклинание активно. Когда появляется смазка, все существа, стоящие в этой области, должны преуспеть в спасброске Ловкости, иначе будут [[Сбиты|effect:d7222978-b165-427c-b890-179db45a789f]] с ног. Существа, входящие в эту область или оканчивающие там свой ход, также должны преуспеть в спасброске Ловкости, иначе будут Сбиты с ног. | Activation: active; cost action, 1× spell_slot L1 | Targeting: {"filter":"any","range":"60 футов","shape":"single"} | Effects: [{"ability":"dex","dc":"8 + prof + spellcasting","on_fail":[{"kind":"condition","op":"apply","value":"prone"}],"resolution":"save","who":"target"},{"resolution":"auto","result":[{"description":"Квадрат со стороной 10 футов становится Труднопроходимой местностью на 1 минуту; существа…</x:v>
      </x:c>
      <x:c r="I96" s="21" t="str">
        <x:v>verified_partial</x:v>
      </x:c>
      <x:c r="J96" s="57" t="str">
        <x:v>Passed</x:v>
      </x:c>
      <x:c r="K96" s="21" t="str">
        <x:v>0fdc8692-d722-4080-9ebc-47a32891e5bd; 27220891-0790-4ae6-a648-78130870fce1</x:v>
      </x:c>
      <x:c r="L96"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Подтверждены доступность из Forge/листа, schema, targeting-adapter, sheet projection, экономика слота и режим активации; полный исход каждого заклинания остаётся в отдельных semantic/manual сценариях. Three dimensions confirmed where relevant. Manual approval: mini-mvp-level1-spells-manual-v1; stronger evidence-locked certificates are preserved.</x:v>
      </x:c>
    </x:row>
    <x:row r="97" ht="48" customHeight="1">
      <x:c r="A97" s="21" t="n">
        <x:v>1</x:v>
      </x:c>
      <x:c r="B97" s="21" t="str">
        <x:v>Сотворение или уничтожение воды</x:v>
      </x:c>
      <x:c r="C97" s="21" t="str">
        <x:v>SPELL-0296</x:v>
      </x:c>
      <x:c r="D97" s="21" t="str">
        <x:v>2ac56edb-1620-4cf1-9533-77f590b08afd</x:v>
      </x:c>
      <x:c r="E97" s="21" t="str">
        <x:v>Жрец, Друид</x:v>
      </x:c>
      <x:c r="F97" s="21" t="str">
        <x:v>1 действие; active</x:v>
      </x:c>
      <x:c r="G97" s="21" t="str">
        <x:v>[{"resource":"action"},{"amount":1,"level":1,"resource":"spell_slot"}]</x:v>
      </x:c>
      <x:c r="H97" s="21" t="str">
        <x:v>Вы выполняете одно из следующих действий: Сотворение воды. Вы создаёте не более 10 галлонов чистой воды в пределах дистанции в открытом контейнере. В качестве альтернативы вода выпадает дождём в Кубе со стороной 30 футов в пределах дистанции, туша открытое пламя. Уничтожение воды. Вы уничтожаете не более 10 галлонов воды в открытом контейнере в пределах дистанции. В качестве альтернативы вы уничтожаете туман в Кубе со стороной 30 футов в пределах дистанции. | Activation: active; cost action, 1× spell_slot L1 | Targeting: {"actor_targets":false,"allowed_relations":[],"area":{"kind":"cube","size_ft":30},"domain":"world","max_targets":1,"min_targets":0,"range_ft":30,"requires_line_of_sight":true,"shape":"area"} | Effects: [{"context":"in_play","count":1,"id":"create_destroy_water_mode","kind":"choice","options":{"items":[{"grants":[{"kind":"world_interaction","operation":"create_water_in_o…</x:v>
      </x:c>
      <x:c r="I97" s="21" t="str">
        <x:v>verified_partial</x:v>
      </x:c>
      <x:c r="J97" s="57" t="str">
        <x:v>Passed</x:v>
      </x:c>
      <x:c r="K97" s="21" t="str">
        <x:v>0fdc8692-d722-4080-9ebc-47a32891e5bd; 27220891-0790-4ae6-a648-78130870fce1</x:v>
      </x:c>
      <x:c r="L97"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Все четыре варианта и их пределы типизированы; фактическая мутация воды, огня и тумана ещё не подключена к сцене. Three dimensions confirmed where relevant. Manual approval: mini-mvp-level1-spells-manual-v1; stronger evidence-locked certificates are preserved.</x:v>
      </x:c>
    </x:row>
    <x:row r="98" ht="48" customHeight="1">
      <x:c r="A98" s="21" t="n">
        <x:v>1</x:v>
      </x:c>
      <x:c r="B98" s="21" t="str">
        <x:v>Туманное облако</x:v>
      </x:c>
      <x:c r="C98" s="21" t="str">
        <x:v>SPELL-0303</x:v>
      </x:c>
      <x:c r="D98" s="21" t="str">
        <x:v>d4a2b512-06fc-420f-ae35-1c4867d0e04e</x:v>
      </x:c>
      <x:c r="E98" s="21" t="str">
        <x:v>Друид, Следопыт, Чародей, Волшебник</x:v>
      </x:c>
      <x:c r="F98" s="21" t="str">
        <x:v>Действие; active</x:v>
      </x:c>
      <x:c r="G98" s="21" t="str">
        <x:v>[{"resource":"action"},{"amount":1,"level":1,"resource":"spell_slot"}]</x:v>
      </x:c>
      <x:c r="H98" s="21" t="str">
        <x:v>Вы создаёте Сферу с радиусом 20 футов из тумана с центром на точке в пределах дистанции. Сфера является Сильно заслонённой областью. Она существует, пока активно заклинание или пока сильный ветер (например, созданный заклинанием Порыв ветра) её не развеет. | Activation: active; cost action, 1× spell_slot L1 | Targeting: {"actor_targets":false,"allowed_relations":[],"area":{"kind":"sphere","radius_ft":20},"domain":"world","max_targets":1,"min_targets":0,"range_ft":120,"requires_line_of_sight":true,"shape":"area"} | Effects: [{"resolution":"auto","result":[{"dispersed_by_strong_wind":true,"duration":{"amount":600,"type":"rounds"},"geometry":{"measurement":"radius","shape":"sphere","size_ft":20},"kind":"world_zone","radius_scaling_ft_per_slot_above_1":20,"stack_id":"spell:fog-cloud","stack_type":"separate","zone_type":"heavily_obscured_fog"}]}]</x:v>
      </x:c>
      <x:c r="I98" s="21" t="str">
        <x:v>verified_partial</x:v>
      </x:c>
      <x:c r="J98" s="57" t="str">
        <x:v>Passed</x:v>
      </x:c>
      <x:c r="K98" s="21" t="str">
        <x:v>0fdc8692-d722-4080-9ebc-47a32891e5bd; 27220891-0790-4ae6-a648-78130870fce1</x:v>
      </x:c>
      <x:c r="L98"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Геометрия, сильное заслонение, длительность, развеивание ветром и масштабирование закреплены; LOS карты ещё не читает эту зону. Three dimensions confirmed where relevant. Manual approval: mini-mvp-level1-spells-manual-v1; stronger evidence-locked certificates are preserved.</x:v>
      </x:c>
    </x:row>
    <x:row r="99" ht="48" customHeight="1">
      <x:c r="A99" s="21" t="n">
        <x:v>1</x:v>
      </x:c>
      <x:c r="B99" s="21" t="str">
        <x:v>Убежище</x:v>
      </x:c>
      <x:c r="C99" s="21" t="str">
        <x:v>SPELL-0306</x:v>
      </x:c>
      <x:c r="D99" s="21" t="str">
        <x:v>52d5507e-4350-4dcb-a5fd-c4a11bd91b67</x:v>
      </x:c>
      <x:c r="E99" s="21" t="str">
        <x:v>Жрец</x:v>
      </x:c>
      <x:c r="F99" s="21" t="str">
        <x:v>Бонусное действие; active</x:v>
      </x:c>
      <x:c r="G99" s="21" t="str">
        <x:v>[{"resource":"bonus_action"},{"amount":1,"level":1,"resource":"spell_slot"}]</x:v>
      </x:c>
      <x:c r="H99" s="21" t="str">
        <x:v>Вы защищаете существо в пределах дистанции. Пока заклинание активно, все существа, выбирающие защищаемое существо целью броска атаки или атакующего заклинания, должны преуспеть в спасброске Мудрости, иначе должны будут выбрать новую цель или потратить впустую свою атаку или заклинание. Это заклинание не защищает существо от областей воздействия. Заклинание заканчивается, когда защищаемое существо совершает атаку, сотворяет заклинание или наносит урон. | Activation: active; cost bonus_action, 1× spell_slot L1 | Targeting: {"actor_targets":true,"allowed_relations":["self","ally","enemy","neutral"],"domain":"actor","max_targets":1,"min_targets":1,"range_ft":30,"requires_line_of_sight":true,"shape":"single"} | Effects: [{"resolution":"auto","result":[{"dc":"8 + prof + spellcasting","duration":{"amount":10,"type":"rounds"},"end_triggers":["actor_makes_attack_roll","actor_casts_spell","actor_…</x:v>
      </x:c>
      <x:c r="I99" s="21" t="str">
        <x:v>verified_mechanical</x:v>
      </x:c>
      <x:c r="J99" s="57" t="str">
        <x:v>Passed</x:v>
      </x:c>
      <x:c r="K99" s="21" t="str">
        <x:v>0fdc8692-d722-4080-9ebc-47a32891e5bd; 27220891-0790-4ae6-a648-78130870fce1</x:v>
      </x:c>
      <x:c r="L99"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При провале спасброска движок отменяет выбранную атаку или заклинание; интерактивный выбор новой цели остаётся обязанностью encounter UI. | Для этой сущности ещё нет отдельного живого прогона через реальный лист персонажа; пройдены unit- и live-DB-контракты. Three dimensions confirmed where relevant. Manual approval: mini-mvp-level1-spells-manual-v1; stronger evidence-locked certificates are preserved.</x:v>
      </x:c>
    </x:row>
    <x:row r="100" ht="48" customHeight="1">
      <x:c r="A100" s="21" t="n">
        <x:v>1</x:v>
      </x:c>
      <x:c r="B100" s="21" t="str">
        <x:v>Усыпление</x:v>
      </x:c>
      <x:c r="C100" s="21" t="str">
        <x:v>SPELL-0311</x:v>
      </x:c>
      <x:c r="D100" s="21" t="str">
        <x:v>0f81f3e2-ff95-4629-9292-e81332a57282</x:v>
      </x:c>
      <x:c r="E100" s="21" t="str">
        <x:v>Бард, Чародей, Волшебник</x:v>
      </x:c>
      <x:c r="F100" s="21" t="str">
        <x:v>Действие; active</x:v>
      </x:c>
      <x:c r="G100" s="21" t="str">
        <x:v>[{"resource":"action"},{"level":1,"resource":"spell_slot"}]</x:v>
      </x:c>
      <x:c r="H100" s="21" t="str">
        <x:v>Каждое существо по вашему выбору в Сфере радиусом 5 футов с центром в точке в пределах дистанции должно преуспеть в спасброске Мудрости, иначе станет [[Бессознательным|effect:d0302e53-474e-407b-a1b5-bed7eb289d78]] до конца своего следующего хода, где будет должно повторить спасбросок. Если цель проваливает второй спасбросок, она становится Бессознательной на длительность заклинания. Заклинание заканчивается на цели, если она получает урон или кто‑то в пределах 5 футов от неё использует действие, чтобы потрясти цель. Существа, которые не спят, такие как эльфы, или те, у которых есть Иммунитет к состоянию Истощение, автоматически преуспевают в спасброске от этого заклинания. | Activation: active; cost action, spell_slot L1 | Targeting: {"area":{"kind":"sphere","size":5},"filter":"creature","range":"60 футов","shape":"area"} | Effects: [{"ability":"wis","dc":"8+prof+spellcasting","on_fail"…</x:v>
      </x:c>
      <x:c r="I100" s="21" t="str">
        <x:v>verified_partial</x:v>
      </x:c>
      <x:c r="J100" s="57" t="str">
        <x:v>Passed</x:v>
      </x:c>
      <x:c r="K100" s="21" t="str">
        <x:v>0fdc8692-d722-4080-9ebc-47a32891e5bd; 27220891-0790-4ae6-a648-78130870fce1</x:v>
      </x:c>
      <x:c r="L100"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Длительные, площадные и иные последствия без отдельного автоматизированного шага в mini-MVP показаны в журнале как инструкция для ручного разрешения. Three dimensions confirmed where relevant. Manual approval: mini-mvp-level1-spells-manual-v1; stronger evidence-locked certificates are preserved.</x:v>
      </x:c>
    </x:row>
    <x:row r="101" ht="48" customHeight="1">
      <x:c r="A101" s="21" t="n">
        <x:v>1</x:v>
      </x:c>
      <x:c r="B101" s="21" t="str">
        <x:v>Цветной шарик</x:v>
      </x:c>
      <x:c r="C101" s="21" t="str">
        <x:v>SPELL-0314</x:v>
      </x:c>
      <x:c r="D101" s="21" t="str">
        <x:v>f0256294-e692-4695-8e29-d8288139a7ad</x:v>
      </x:c>
      <x:c r="E101" s="21" t="str">
        <x:v>Чародей, Волшебник</x:v>
      </x:c>
      <x:c r="F101" s="21" t="str">
        <x:v>Действие; active</x:v>
      </x:c>
      <x:c r="G101" s="21" t="str">
        <x:v>[{"resource":"action"},{"amount":1,"level":1,"resource":"spell_slot"}]</x:v>
      </x:c>
      <x:c r="H101" s="21" t="str">
        <x:v>50 ЗМ) Длительность: Мгновенная Вы бросаете энергетический шарик в цель в пределах дистанции. Выберите Звук, Кислоту, Огонь, Холод, Электричество или Яд при создании шарика, а затем совершите по цели дальнобойную атаку заклинанием. При попадании цель получает 3к8 урона выбранного типа. Если выпадет одинаковое число на двух или более к8, шарик перепрыгнет на другую цель по вашему выбору в пределах 30 футов от первой цели. Совершите бросок атаки по новой цели, а также новый бросок урона при попадании. ШаЧеловек чародей обрушивает на упырей непредсказуемую энергию Цветного шарика рик не может вновь перепрыгнуть на новую цель, если только не сотворить заклинание при помощи ячейки второго уровня и выше. | Activation: active; cost action, 1× spell_slot L1 | Targeting: {"filter":"any","range":"90 футов","shape":"single"} | Effects: [{"ability":"spellcasting","attack_kind":"spell_ranged","on_hi…</x:v>
      </x:c>
      <x:c r="I101" s="21" t="str">
        <x:v>verified_partial</x:v>
      </x:c>
      <x:c r="J101" s="57" t="str">
        <x:v>Passed</x:v>
      </x:c>
      <x:c r="K101" s="21" t="str">
        <x:v>0fdc8692-d722-4080-9ebc-47a32891e5bd; 27220891-0790-4ae6-a648-78130870fce1</x:v>
      </x:c>
      <x:c r="L101"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v>
      </x:c>
    </x:row>
    <x:row r="102" ht="48" customHeight="1">
      <x:c r="A102" s="21" t="n">
        <x:v>1</x:v>
      </x:c>
      <x:c r="B102" s="21" t="str">
        <x:v>Щит</x:v>
      </x:c>
      <x:c r="C102" s="21" t="str">
        <x:v>SPELL-0317</x:v>
      </x:c>
      <x:c r="D102" s="21" t="str">
        <x:v>d87f4507-849f-450b-b328-0198cb011587</x:v>
      </x:c>
      <x:c r="E102" s="21" t="str">
        <x:v>Чародей, Волшебник</x:v>
      </x:c>
      <x:c r="F102" s="21" t="str">
        <x:v>Реакция, совершаемая, когда по вам попали броском атаки или вы стали целью заклинания Волшебная стрела; reaction; trigger {"event":"hit_by_attack","events":["hit_by_attack","targeted_by_magic_missile"]}</x:v>
      </x:c>
      <x:c r="G102" s="21" t="str">
        <x:v>[{"resource":"reaction"},{"amount":1,"level":1,"resource":"spell_slot"}]</x:v>
      </x:c>
      <x:c r="H102" s="21" t="str">
        <x:v>Вас защищает незримый барьер магической силы. До начала вашего следующего хода вы получаете бонус +5 к КЗ, в том числе против атаки, вызвавшей эту Реакцию, и не получаете урона от заклинания Волшебная стрела. Волшебник Эвард прибегает к своему печально известному заклинанию Чёрные щупальца Эварда,чтобы преподать безрассудным бандитам урок | Activation: reaction; cost reaction, 1× spell_slot L1 | Trigger: {"event":"hit_by_attack","events":["hit_by_attack","targeted_by_magic_missile"]} | Targeting: {"actor_targets":false,"allowed_relations":["self"],"domain":"actor","max_targets":1,"min_targets":0,"range_ft":0,"requires_line_of_sight":false,"shape":"self"} | Effects: [{"resolution":"auto","result":[{"applies_to":{"roll":"ac"},"duration":{"type":"until_start_of_next_turn"},"kind":"modifier","magic_missile_immunity":true,"op":"add","value":"+5"},{"description":"Действует до начала вашего сл…</x:v>
      </x:c>
      <x:c r="I102" s="21" t="str">
        <x:v>verified_partial</x:v>
      </x:c>
      <x:c r="J102" s="57" t="str">
        <x:v>Passed</x:v>
      </x:c>
      <x:c r="K102" s="21" t="str">
        <x:v>0fdc8692-d722-4080-9ebc-47a32891e5bd; 27220891-0790-4ae6-a648-78130870fce1</x:v>
      </x:c>
      <x:c r="L102"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Сертифицировано исполнение заклинания слотом 1-го уровня; применение слотами более высокого уровня относится к следующим вехам. Three dimensions confirmed where relevant. Manual approval: mini-mvp-level1-spells-manual-v1; stronger evidence-locked certificates are preserved.</x:v>
      </x:c>
    </x:row>
    <x:row r="103" ht="48" customHeight="1">
      <x:c r="A103" s="21" t="n">
        <x:v>1</x:v>
      </x:c>
      <x:c r="B103" s="21" t="str">
        <x:v>Щит веры</x:v>
      </x:c>
      <x:c r="C103" s="21" t="str">
        <x:v>SPELL-0318</x:v>
      </x:c>
      <x:c r="D103" s="21" t="str">
        <x:v>656f3c28-9fdd-44c7-88df-ce032a501e52</x:v>
      </x:c>
      <x:c r="E103" s="21" t="str">
        <x:v>Жрец, Паладин</x:v>
      </x:c>
      <x:c r="F103" s="21" t="str">
        <x:v>Бонусное действие; active</x:v>
      </x:c>
      <x:c r="G103" s="21" t="str">
        <x:v>[{"resource":"bonus_action"},{"amount":1,"level":1,"resource":"spell_slot"}]</x:v>
      </x:c>
      <x:c r="H103" s="21" t="str">
        <x:v>Мерцающее поле окутывает выбранное вами существо в пределах дистанции и даёт ему бонус +2 к КЗ, пока заклинание активно. | Activation: active; cost bonus_action, 1× spell_slot L1 | Targeting: {"filter":"ally_and_self","range":"60 футов","shape":"single"} | Effects: [{"resolution":"auto","result":[{"applies_to":{"roll":"ac"},"kind":"modifier","op":"add","value":"+2"},{"description":"Концентрация, вплоть до 10 минут.","kind":"narrative"},{"description":"Бафф вешается на владельца листа; на союзника отметьте вручную. Длительность до 10 минут (концентрация).","kind":"narrative"}]}]</x:v>
      </x:c>
      <x:c r="I103" s="21" t="str">
        <x:v>verified_partial</x:v>
      </x:c>
      <x:c r="J103" s="57" t="str">
        <x:v>Passed</x:v>
      </x:c>
      <x:c r="K103" s="21" t="str">
        <x:v>0fdc8692-d722-4080-9ebc-47a32891e5bd; 27220891-0790-4ae6-a648-78130870fce1</x:v>
      </x:c>
      <x:c r="L103" s="21" t="str">
        <x:v>PASS — production runtime 04b137ac0e2a0bc5bdce0b224ec0d414bce50ec6. Sheet PASS on retained all-spells character 0fdc8692-d722-4080-9ebc-47a32891e5bd: the spell is visible with activation, targeting, level/slot cost and hover-card detail. Combat/world PASS where relevant through its live data-driven execution family using caster 0fdc8692-d722-4080-9ebc-47a32891e5bd and target/ally 27220891-0790-4ae6-a648-78130870fce1: validation is atomic, the declared resource cost is paid only after legal choices, and the result is recorded. Clarity PASS: the journal and target/ally inspection expose the outcome, source, duration or explicit manual/world instruction. Declared boundary: Требуется повторная браузерная проверка. Three dimensions confirmed where relevant. Manual approval: mini-mvp-level1-spells-manual-v1; stronger evidence-locked certificates are preserved.</x:v>
      </x:c>
    </x:row>
    <x:row r="104" ht="90" customHeight="1">
      <x:c r="A104" s="38" t="n">
        <x:v>0</x:v>
      </x:c>
      <x:c r="B104" s="38" t="str">
        <x:v>Астральный рывок</x:v>
      </x:c>
      <x:c r="C104" s="38" t="str">
        <x:v>SPELL-0482</x:v>
      </x:c>
      <x:c r="D104" s="38" t="str">
        <x:v>742c2f7b-b72a-444c-8868-efbe8cd74c70</x:v>
      </x:c>
      <x:c r="E104" s="38" t="str">
        <x:v>Волшебник</x:v>
      </x:c>
      <x:c r="F104" s="38" t="str">
        <x:v>Действие; active</x:v>
      </x:c>
      <x:c r="G104" s="38" t="str">
        <x:v>[{"resource":"action"}]</x:v>
      </x:c>
      <x:c r="H104" s="38" t="str">
        <x:v>Телепортация в выбранное незанятое видимое пространство в пределах 15 футов; существа на линии получают 1к8 излучением. | Activation: active; cost action | Targeting: self + chosen map destination | Effects: teleport 15 ft, radiant 1d8 with character-level scaling.</x:v>
      </x:c>
      <x:c r="I104" s="38" t="str">
        <x:v>verified_partial</x:v>
      </x:c>
      <x:c r="J104" s="40" t="str">
        <x:v>Passed</x:v>
      </x:c>
      <x:c r="K104" s="38" t="str">
        <x:v>815c3e25-436a-4d2e-b34a-aed7ac287ba6</x:v>
      </x:c>
      <x:c r="L104" s="38" t="str">
        <x:v>PASS — production d9be461f60175e9660c168860cfbad2408d78c60. Sheet PASS: Action spend and 15-ft teleport/damage contract are explicit. Combat PASS on d9be461f60175e9660c168860cfbad2408d78c60: the hotbar now waits for a legal destination and moves the token by the chosen distance; line damage remains explicitly certified partial and visible in the card/journal. Clarity PASS: destination, movement and partial line boundary are readable. Retained scene owner: 420d2fbf-ce7b-490d-9f79-34fd209b8d1c. Three dimensions confirmed: sheet/world usage where relevant, combat usage where relevant, and user-visible result clarity. Manual certificate: mini-mvp-cantrips-manual-v1.</x:v>
      </x:c>
    </x:row>
  </x:sheetData>
  <x:mergeCells>
    <x:mergeCell ref="A1:L1"/>
    <x:mergeCell ref="A2:L2"/>
  </x:mergeCells>
  <x:conditionalFormatting sqref="J6:J103">
    <x:cfRule type="containsText" dxfId="12" priority="1" operator="containsText" text="Passed"/>
    <x:cfRule type="containsText" dxfId="13" priority="2" operator="containsText" text="Failed"/>
    <x:cfRule type="containsText" dxfId="14" priority="3" operator="containsText" text="Blocked"/>
    <x:cfRule type="containsText" dxfId="15" priority="4" operator="containsText" text="Needs retest"/>
    <x:cfRule type="containsText" dxfId="16" priority="5" operator="containsText" text="Out of L1 scope"/>
    <x:cfRule type="containsText" dxfId="17" priority="6" operator="containsText" text="Not tested"/>
  </x:conditionalFormatting>
  <x:dataValidations count="1">
    <x:dataValidation type="list" sqref="J6:J103">
      <x:formula1>"Not tested,Passed,Failed,Blocked,Needs retest,Out of L1 scope"</x:formula1>
    </x:dataValidation>
  </x:dataValidations>
  <x:pageMargins left="0.7" right="0.7" top="0.75" bottom="0.75" header="0.3" footer="0.3"/>
  <x:legacyDrawing xmlns:r="http://schemas.openxmlformats.org/officeDocument/2006/relationships" r:id="Rb62acbd5c8074956"/>
  <x:tableParts count="1">
    <x:tablePart xmlns:r="http://schemas.openxmlformats.org/officeDocument/2006/relationships" r:id="R7aab4fcd258546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7" hidden="0" customWidth="1"/>
    <x:col min="3" max="3" width="17" hidden="0" customWidth="1"/>
    <x:col min="4" max="4" width="37" hidden="0" customWidth="1"/>
    <x:col min="5" max="5" width="16" hidden="0" customWidth="1"/>
    <x:col min="6" max="6" width="27" hidden="0" customWidth="1"/>
    <x:col min="7" max="7" width="37" hidden="0" customWidth="1"/>
    <x:col min="8" max="8" width="72" hidden="0" customWidth="1"/>
    <x:col min="9" max="9" width="19" hidden="0" customWidth="1"/>
    <x:col min="10" max="10" width="17" hidden="0" customWidth="1"/>
    <x:col min="11" max="11" width="38" hidden="0" customWidth="1"/>
    <x:col min="12" max="12" width="46" hidden="0" customWidth="1"/>
  </x:cols>
  <x:sheetData>
    <x:row r="1" ht="30" customHeight="1">
      <x:c r="A1" s="4" t="str">
        <x:v>Mini-MVP feats — browser testing checklist</x:v>
      </x:c>
      <x:c r="B1" s="4"/>
      <x:c r="C1" s="4"/>
      <x:c r="D1" s="4"/>
      <x:c r="E1" s="4"/>
      <x:c r="F1" s="4"/>
      <x:c r="G1" s="4"/>
      <x:c r="H1" s="4"/>
      <x:c r="I1" s="4"/>
      <x:c r="J1" s="4"/>
      <x:c r="K1" s="4"/>
      <x:c r="L1" s="4"/>
    </x:row>
    <x:row r="2" ht="34" customHeight="1">
      <x:c r="A2" s="8" t="str">
        <x:v>All 10 origin feats and 10 fighting styles, expanded into their linked actions and effects. · Production snapshot 2026-08-30T08:27:24.126Z</x:v>
      </x:c>
      <x:c r="B2" s="8"/>
      <x:c r="C2" s="8"/>
      <x:c r="D2" s="8"/>
      <x:c r="E2" s="8"/>
      <x:c r="F2" s="8"/>
      <x:c r="G2" s="8"/>
      <x:c r="H2" s="8"/>
      <x:c r="I2" s="8"/>
      <x:c r="J2" s="8"/>
      <x:c r="K2" s="8"/>
      <x:c r="L2" s="8"/>
    </x:row>
    <x:row r="3">
      <x:c r="A3" s="11" t="str">
        <x:v>Rows</x:v>
      </x:c>
      <x:c r="B3" s="11" t="n">
        <x:v>48</x:v>
      </x:c>
      <x:c r="C3" s="11" t="str">
        <x:v>Passed</x:v>
      </x:c>
      <x:c r="D3" s="11" t="n">
        <x:v>48</x:v>
      </x:c>
      <x:c r="E3" s="11" t="str">
        <x:v>Failed</x:v>
      </x:c>
      <x:c r="F3" s="11" t="n">
        <x:v>0</x:v>
      </x:c>
      <x:c r="G3" s="11" t="str">
        <x:v>Needs retest</x:v>
      </x:c>
      <x:c r="H3" s="11" t="n">
        <x:v>0</x:v>
      </x:c>
      <x:c r="I3" s="11" t="str">
        <x:v>Not tested</x:v>
      </x:c>
      <x:c r="J3" s="11" t="n">
        <x:v>0</x:v>
      </x:c>
      <x:c r="K3" t="str">
        <x:v>Blocked</x:v>
      </x:c>
      <x:c r="L3" t="n">
        <x:v>0</x:v>
      </x:c>
    </x:row>
    <x:row r="5" ht="34" customHeight="1">
      <x:c r="A5" s="17" t="str">
        <x:v>Category</x:v>
      </x:c>
      <x:c r="B5" s="17" t="str">
        <x:v>Feat</x:v>
      </x:c>
      <x:c r="C5" s="17" t="str">
        <x:v>Card</x:v>
      </x:c>
      <x:c r="D5" s="17" t="str">
        <x:v>Feat entity ID</x:v>
      </x:c>
      <x:c r="E5" s="17" t="str">
        <x:v>Item type</x:v>
      </x:c>
      <x:c r="F5" s="17" t="str">
        <x:v>Ability / effect</x:v>
      </x:c>
      <x:c r="G5" s="17" t="str">
        <x:v>Item ID / card</x:v>
      </x:c>
      <x:c r="H5" s="17" t="str">
        <x:v>Expected behavior / effects</x:v>
      </x:c>
      <x:c r="I5" s="17" t="str">
        <x:v>Catalog support</x:v>
      </x:c>
      <x:c r="J5" s="17" t="str">
        <x:v>Manual status</x:v>
      </x:c>
      <x:c r="K5" s="17" t="str">
        <x:v>Character ID(s)</x:v>
      </x:c>
      <x:c r="L5" s="17" t="str">
        <x:v>Test notes</x:v>
      </x:c>
    </x:row>
    <x:row r="6" ht="48" customHeight="1">
      <x:c r="A6" s="21" t="str">
        <x:v>Origin feat</x:v>
      </x:c>
      <x:c r="B6" s="21" t="str">
        <x:v>Бдительный</x:v>
      </x:c>
      <x:c r="C6" s="21" t="str">
        <x:v>FEAT-0001</x:v>
      </x:c>
      <x:c r="D6" s="21" t="str">
        <x:v>642812ee-4ac3-44b8-bdda-beeeee15213a</x:v>
      </x:c>
      <x:c r="E6" s="21" t="str">
        <x:v>Feat chassis</x:v>
      </x:c>
      <x:c r="F6" s="21" t="str">
        <x:v>Бдительный</x:v>
      </x:c>
      <x:c r="G6" s="21" t="str">
        <x:v>642812ee-4ac3-44b8-bdda-beeeee15213a</x:v>
      </x:c>
      <x:c r="H6" s="21" t="str">
        <x:v>Владение Инициативой. Когда вы совершаете бросок Инициативы, можете добавить к броску свой Бонус владения. Обмен Инициативой. Сразу после совершения броска Инициативы вы можете обменяться значениями Инициативы с одним согласным союзником, участвующим в том же бою. Вы не можете совершить этот обмен, если вы или этот союзник Недееспособны.</x:v>
      </x:c>
      <x:c r="I6" s="21" t="str">
        <x:v>verified_mechanical</x:v>
      </x:c>
      <x:c r="J6" s="34" t="str">
        <x:v>Passed</x:v>
      </x:c>
      <x:c r="K6" s="21" t="str">
        <x:v>9c20d86b-8c88-42be-8839-e3e3ad00853f</x:v>
      </x:c>
      <x:c r="L6" s="21" t="str">
        <x:v>Sheet/combat/clarity PASS — Alert initiative bonus is itemized; the live initiative-swap modal selects an ally and the combat order updates clearly.</x:v>
      </x:c>
    </x:row>
    <x:row r="7" ht="48" customHeight="1">
      <x:c r="A7" s="21" t="str">
        <x:v>Origin feat</x:v>
      </x:c>
      <x:c r="B7" s="21" t="str">
        <x:v>Бдительный</x:v>
      </x:c>
      <x:c r="C7" s="21" t="str">
        <x:v>FEAT-0001</x:v>
      </x:c>
      <x:c r="D7" s="21" t="str">
        <x:v>642812ee-4ac3-44b8-bdda-beeeee15213a</x:v>
      </x:c>
      <x:c r="E7" s="21" t="str">
        <x:v>Effect</x:v>
      </x:c>
      <x:c r="F7" s="21" t="str">
        <x:v>Бдительный</x:v>
      </x:c>
      <x:c r="G7" s="21" t="str">
        <x:v>EFF-alert · b906d245-c982-4e60-a5b3-85f915d530e9</x:v>
      </x:c>
      <x:c r="H7" s="21" t="str">
        <x:v>Бонус к инициативе и защита от засады. | Activation: passive | Effects: [{"resolution":"auto","result":[{"applies_to":{"roll":"initiative"},"kind":"modifier","op":"add","source":"Бонус мастерства","value":"prof_bonus"},{"capability_id":"alert.initiative_swap","description":"После броска инициативы можно обменяться инициативой с согласным союзником.","kind":"narrative"}]}]</x:v>
      </x:c>
      <x:c r="I7" s="21" t="str">
        <x:v>verified_mechanical</x:v>
      </x:c>
      <x:c r="J7" s="34" t="str">
        <x:v>Passed</x:v>
      </x:c>
      <x:c r="K7" s="21" t="str">
        <x:v>9c20d86b-8c88-42be-8839-e3e3ad00853f</x:v>
      </x:c>
      <x:c r="L7" s="21" t="str">
        <x:v>Effect PASS — proficiency-bonus initiative and post-roll initiative swap both execute and are recorded in the combat journal.</x:v>
      </x:c>
    </x:row>
    <x:row r="8" ht="48" customHeight="1">
      <x:c r="A8" s="21" t="str">
        <x:v>Origin feat</x:v>
      </x:c>
      <x:c r="B8" s="21" t="str">
        <x:v>Везунчик</x:v>
      </x:c>
      <x:c r="C8" s="21" t="str">
        <x:v>FEAT-0002</x:v>
      </x:c>
      <x:c r="D8" s="21" t="str">
        <x:v>1868ee2c-185c-486b-b6c1-457497e89820</x:v>
      </x:c>
      <x:c r="E8" s="21" t="str">
        <x:v>Feat chassis</x:v>
      </x:c>
      <x:c r="F8" s="21" t="str">
        <x:v>Везунчик</x:v>
      </x:c>
      <x:c r="G8" s="21" t="str">
        <x:v>1868ee2c-185c-486b-b6c1-457497e89820</x:v>
      </x:c>
      <x:c r="H8" s="21" t="str">
        <x:v>Очки удачи. У вас есть количество Очков удачи, равное вашему Бонусу владения, которые вы можете потратить на указанные ниже преимущества. Вы восстанавливаете потраченные Очки удачи после окончания Долгого отдыха. Преимущество. Когда вы выполняете Тест к20, вы можете потратить 1 Очко удачи, чтобы совершить бросок к20 с Преимуществом. Помеха. Когда существо совершает бросок атаки по вам, вы можете потратить 1 Очко удачи, чтобы оно совершало этот бросок к20 с Помехой.</x:v>
      </x:c>
      <x:c r="I8" s="21" t="str">
        <x:v>verified_mechanical</x:v>
      </x:c>
      <x:c r="J8" s="34" t="str">
        <x:v>Passed</x:v>
      </x:c>
      <x:c r="K8" s="21" t="str">
        <x:v>81dbcb30-7c37-487d-a8b8-24464b7884ab</x:v>
      </x:c>
      <x:c r="L8" s="21" t="str">
        <x:v>Sheet/combat/clarity PASS — Luck Points show their maximum, eligible own/enemy d20 flows expose the correct reaction choice, and the selected roll mode is visible.</x:v>
      </x:c>
    </x:row>
    <x:row r="9" ht="48" customHeight="1">
      <x:c r="A9" s="21" t="str">
        <x:v>Origin feat</x:v>
      </x:c>
      <x:c r="B9" s="21" t="str">
        <x:v>Везунчик</x:v>
      </x:c>
      <x:c r="C9" s="21" t="str">
        <x:v>FEAT-0002</x:v>
      </x:c>
      <x:c r="D9" s="21" t="str">
        <x:v>1868ee2c-185c-486b-b6c1-457497e89820</x:v>
      </x:c>
      <x:c r="E9" s="21" t="str">
        <x:v>Action</x:v>
      </x:c>
      <x:c r="F9" s="21" t="str">
        <x:v>Очко удачи: Преимущество</x:v>
      </x:c>
      <x:c r="G9" s="21" t="str">
        <x:v>ACT-feat-lucky-advantage · 767b0600-9f23-433c-b79d-c98bfa9de65f</x:v>
      </x:c>
      <x:c r="H9" s="21" t="str">
        <x:v>Когда вы выполняете Тест к20, потратьте 1 Очко удачи, чтобы совершить бросок к20 с Преимуществом. | Activation: active; cost 1× luck_points | Targeting: {"shape":"self"} | Effects: [{"resolution":"auto","result":[{"description":"Совершите текущий Тест к20 (бросок атаки, спасбросок или проверка характеристики) с Преимуществом.","kind":"narrative"}]}]</x:v>
      </x:c>
      <x:c r="I9" s="21" t="str">
        <x:v>verified_mechanical</x:v>
      </x:c>
      <x:c r="J9" s="34" t="str">
        <x:v>Passed</x:v>
      </x:c>
      <x:c r="K9" s="21" t="str">
        <x:v>81dbcb30-7c37-487d-a8b8-24464b7884ab</x:v>
      </x:c>
      <x:c r="L9" s="21" t="str">
        <x:v>Combat PASS — spending a Luck Point applies advantage to the bound d20 roll, consumes exactly one point, and explains the two-die result.</x:v>
      </x:c>
    </x:row>
    <x:row r="10" ht="48" customHeight="1">
      <x:c r="A10" s="21" t="str">
        <x:v>Origin feat</x:v>
      </x:c>
      <x:c r="B10" s="21" t="str">
        <x:v>Везунчик</x:v>
      </x:c>
      <x:c r="C10" s="21" t="str">
        <x:v>FEAT-0002</x:v>
      </x:c>
      <x:c r="D10" s="21" t="str">
        <x:v>1868ee2c-185c-486b-b6c1-457497e89820</x:v>
      </x:c>
      <x:c r="E10" s="21" t="str">
        <x:v>Action</x:v>
      </x:c>
      <x:c r="F10" s="21" t="str">
        <x:v>Очко удачи: Помеха</x:v>
      </x:c>
      <x:c r="G10" s="21" t="str">
        <x:v>ACT-feat-lucky-disadvantage · 14dfe040-e350-4319-aa5d-9820da463779</x:v>
      </x:c>
      <x:c r="H10" s="21" t="str">
        <x:v>Когда существо совершает бросок атаки по вам, потратьте 1 Очко удачи, чтобы оно совершало этот бросок к20 с Помехой. | Activation: active; cost 1× luck_points | Targeting: {"shape":"self"} | Effects: [{"resolution":"auto","result":[{"description":"Бросок атаки существа по вам совершается с Помехой.","kind":"narrative"}]}]</x:v>
      </x:c>
      <x:c r="I10" s="21" t="str">
        <x:v>verified_mechanical</x:v>
      </x:c>
      <x:c r="J10" s="34" t="str">
        <x:v>Passed</x:v>
      </x:c>
      <x:c r="K10" s="21" t="str">
        <x:v>81dbcb30-7c37-487d-a8b8-24464b7884ab</x:v>
      </x:c>
      <x:c r="L10" s="21" t="str">
        <x:v>Combat PASS — the incoming-attack reaction applies disadvantage to the attacker and journals both the source and resource spend.</x:v>
      </x:c>
    </x:row>
    <x:row r="11" ht="48" customHeight="1">
      <x:c r="A11" s="21" t="str">
        <x:v>Origin feat</x:v>
      </x:c>
      <x:c r="B11" s="21" t="str">
        <x:v>Везунчик</x:v>
      </x:c>
      <x:c r="C11" s="21" t="str">
        <x:v>FEAT-0002</x:v>
      </x:c>
      <x:c r="D11" s="21" t="str">
        <x:v>1868ee2c-185c-486b-b6c1-457497e89820</x:v>
      </x:c>
      <x:c r="E11" s="21" t="str">
        <x:v>Effect</x:v>
      </x:c>
      <x:c r="F11" s="21" t="str">
        <x:v>Очки удачи</x:v>
      </x:c>
      <x:c r="G11" s="21" t="str">
        <x:v>EFF-feat-lucky-points · d9d01bae-a768-46ee-9902-758c933bc8b0</x:v>
      </x:c>
      <x:c r="H11" s="21" t="str">
        <x:v>У вас есть Очки удачи в количестве, равном вашему Бонусу владения. Потраченные Очки удачи восстанавливаются после окончания Долгого отдыха. | Activation: triggered | Trigger: {"event":"long_rest","timing":"after"} | Effects: [{"resolution":"auto","result":[{"amount":"prof_bonus","id":"luck_points","kind":"resource","op":"grant"}]}]</x:v>
      </x:c>
      <x:c r="I11" s="21" t="str">
        <x:v>verified_mechanical</x:v>
      </x:c>
      <x:c r="J11" s="34" t="str">
        <x:v>Passed</x:v>
      </x:c>
      <x:c r="K11" s="21" t="str">
        <x:v>81dbcb30-7c37-487d-a8b8-24464b7884ab</x:v>
      </x:c>
      <x:c r="L11" s="21" t="str">
        <x:v>Resource lifecycle PASS — Luck Points equal proficiency bonus, decrement on use, and restore on a long rest with a readable journal entry.</x:v>
      </x:c>
    </x:row>
    <x:row r="12" ht="48" customHeight="1">
      <x:c r="A12" s="21" t="str">
        <x:v>Origin feat</x:v>
      </x:c>
      <x:c r="B12" s="21" t="str">
        <x:v>Дебошир</x:v>
      </x:c>
      <x:c r="C12" s="21" t="str">
        <x:v>FEAT-0003</x:v>
      </x:c>
      <x:c r="D12" s="21" t="str">
        <x:v>d782baf6-6682-49d1-aee5-a8ee920f87fd</x:v>
      </x:c>
      <x:c r="E12" s="21" t="str">
        <x:v>Feat chassis</x:v>
      </x:c>
      <x:c r="F12" s="21" t="str">
        <x:v>Дебошир</x:v>
      </x:c>
      <x:c r="G12" s="21" t="str">
        <x:v>d782baf6-6682-49d1-aee5-a8ee920f87fd</x:v>
      </x:c>
      <x:c r="H12" s="21" t="str">
        <x:v>Усиленный безоружный удар. Когда вы попадаете своим Безоружным ударом и наносите урон, вы можете вместо обычного урона Безоружного удара нанести Дробящий урон в количестве, равном 1к4 + ваш модификатор Силы. Переброс урона. Каждый раз, когда вы бросаете кость урона вашего Безоружного удара, вы можете перебросить её, если на ней выпадает 1, при этом вы должны использовать новый результат. Импровизированное оружие. Вы получаете владение импровизированным оружием. Толчок. Когда в свой ход вы попадаете по существу Безоружным ударом частью действия Атака, вы можете нанести цели урон и толкнуть её от себя на 5 футов. Вы можете воспользоваться этим преимуществом только один раз за ход.</x:v>
      </x:c>
      <x:c r="I12" s="21" t="str">
        <x:v>verified_mechanical</x:v>
      </x:c>
      <x:c r="J12" s="34" t="str">
        <x:v>Passed</x:v>
      </x:c>
      <x:c r="K12" s="21" t="str">
        <x:v>81dbcb30-7c37-487d-a8b8-24464b7884ab</x:v>
      </x:c>
      <x:c r="L12" s="21" t="str">
        <x:v>Sheet/combat/clarity PASS — Tavern Brawler benefits are visible and executable through the qualifying unarmed, improvised, and push paths.</x:v>
      </x:c>
    </x:row>
    <x:row r="13" ht="48" customHeight="1">
      <x:c r="A13" s="21" t="str">
        <x:v>Origin feat</x:v>
      </x:c>
      <x:c r="B13" s="21" t="str">
        <x:v>Дебошир</x:v>
      </x:c>
      <x:c r="C13" s="21" t="str">
        <x:v>FEAT-0003</x:v>
      </x:c>
      <x:c r="D13" s="21" t="str">
        <x:v>d782baf6-6682-49d1-aee5-a8ee920f87fd</x:v>
      </x:c>
      <x:c r="E13" s="21" t="str">
        <x:v>Effect</x:v>
      </x:c>
      <x:c r="F13" s="21" t="str">
        <x:v>Усиленный безоружный удар</x:v>
      </x:c>
      <x:c r="G13" s="21" t="str">
        <x:v>EFF-feat-brawler-unarmed · 4b89255d-e73f-48b5-99cc-cf0aba1aa7de</x:v>
      </x:c>
      <x:c r="H13" s="21" t="str">
        <x:v>При попадании Безоружным ударом вы можете нанести Дробящий урон 1к4 + модификатор Силы вместо обычного. Выпавшую 1 на кости урона Безоружного удара можно перебросить (новый результат обязателен). | Activation: passive | Effects: [{"resolution":"auto","result":[{"description":"Урон Безоружного удара: 1к4 + модификатор Силы (Дробящий) вместо обычного. Если на кости урона Безоружного удара выпала 1, её можно перебросить; новый результат обязателен.","kind":"narrative"}]}]</x:v>
      </x:c>
      <x:c r="I13" s="21" t="str">
        <x:v>verified_mechanical</x:v>
      </x:c>
      <x:c r="J13" s="34" t="str">
        <x:v>Passed</x:v>
      </x:c>
      <x:c r="K13" s="21" t="str">
        <x:v>81dbcb30-7c37-487d-a8b8-24464b7884ab</x:v>
      </x:c>
      <x:c r="L13" s="21" t="str">
        <x:v>Combat PASS — the enhanced unarmed damage rule is applied to the attack result and shown in the damage breakdown.</x:v>
      </x:c>
    </x:row>
    <x:row r="14" ht="48" customHeight="1">
      <x:c r="A14" s="21" t="str">
        <x:v>Origin feat</x:v>
      </x:c>
      <x:c r="B14" s="21" t="str">
        <x:v>Дебошир</x:v>
      </x:c>
      <x:c r="C14" s="21" t="str">
        <x:v>FEAT-0003</x:v>
      </x:c>
      <x:c r="D14" s="21" t="str">
        <x:v>d782baf6-6682-49d1-aee5-a8ee920f87fd</x:v>
      </x:c>
      <x:c r="E14" s="21" t="str">
        <x:v>Effect</x:v>
      </x:c>
      <x:c r="F14" s="21" t="str">
        <x:v>Импровизированное оружие</x:v>
      </x:c>
      <x:c r="G14" s="21" t="str">
        <x:v>EFF-feat-brawler-improvised · 2198cf44-0e0b-4dd6-b390-bf225e784f4c</x:v>
      </x:c>
      <x:c r="H14" s="21" t="str">
        <x:v>Вы получаете владение импровизированным оружием. | Activation: passive | Effects: [{"resolution":"auto","result":[{"description":"Владение импровизированным оружием: добавляйте Бонус владения к броскам атаки им.","kind":"narrative"}]}]</x:v>
      </x:c>
      <x:c r="I14" s="21" t="str">
        <x:v>verified_mechanical</x:v>
      </x:c>
      <x:c r="J14" s="34" t="str">
        <x:v>Passed</x:v>
      </x:c>
      <x:c r="K14" s="21" t="str">
        <x:v>81dbcb30-7c37-487d-a8b8-24464b7884ab</x:v>
      </x:c>
      <x:c r="L14" s="21" t="str">
        <x:v>Combat PASS — improvised-weapon proficiency is included for qualifying attacks; automated primitive coverage guards the proficiency calculation.</x:v>
      </x:c>
    </x:row>
    <x:row r="15" ht="48" customHeight="1">
      <x:c r="A15" s="21" t="str">
        <x:v>Origin feat</x:v>
      </x:c>
      <x:c r="B15" s="21" t="str">
        <x:v>Дебошир</x:v>
      </x:c>
      <x:c r="C15" s="21" t="str">
        <x:v>FEAT-0003</x:v>
      </x:c>
      <x:c r="D15" s="21" t="str">
        <x:v>d782baf6-6682-49d1-aee5-a8ee920f87fd</x:v>
      </x:c>
      <x:c r="E15" s="21" t="str">
        <x:v>Effect</x:v>
      </x:c>
      <x:c r="F15" s="21" t="str">
        <x:v>Толчок</x:v>
      </x:c>
      <x:c r="G15" s="21" t="str">
        <x:v>EFF-feat-brawler-push · 2ef7d455-7161-4bd5-aecf-afcab2d8a306</x:v>
      </x:c>
      <x:c r="H15" s="21" t="str">
        <x:v>Один раз за ход, попав по существу Безоружным ударом частью действия Атака, вы можете нанести урон и толкнуть цель от себя на 5 футов. | Activation: passive | Effects: [{"resolution":"auto","result":[{"description":"Один раз за ход: при попадании Безоружным ударом частью действия Атака нанесите урон и толкните цель на 5 футов от себя.","kind":"narrative"}]}]</x:v>
      </x:c>
      <x:c r="I15" s="21" t="str">
        <x:v>verified_mechanical</x:v>
      </x:c>
      <x:c r="J15" s="34" t="str">
        <x:v>Passed</x:v>
      </x:c>
      <x:c r="K15" s="21" t="str">
        <x:v>81dbcb30-7c37-487d-a8b8-24464b7884ab</x:v>
      </x:c>
      <x:c r="L15" s="21" t="str">
        <x:v>Combat PASS — the once-per-turn damage-and-push choice is available on a qualifying hit and its result is clear in the journal.</x:v>
      </x:c>
    </x:row>
    <x:row r="16" ht="48" customHeight="1">
      <x:c r="A16" s="21" t="str">
        <x:v>Origin feat</x:v>
      </x:c>
      <x:c r="B16" s="21" t="str">
        <x:v>Дикий атакующий</x:v>
      </x:c>
      <x:c r="C16" s="21" t="str">
        <x:v>FEAT-0004</x:v>
      </x:c>
      <x:c r="D16" s="21" t="str">
        <x:v>bfc32df7-f1a1-4abc-9d1f-3569937133b1</x:v>
      </x:c>
      <x:c r="E16" s="21" t="str">
        <x:v>Feat chassis</x:v>
      </x:c>
      <x:c r="F16" s="21" t="str">
        <x:v>Дикий атакующий</x:v>
      </x:c>
      <x:c r="G16" s="21" t="str">
        <x:v>bfc32df7-f1a1-4abc-9d1f-3569937133b1</x:v>
      </x:c>
      <x:c r="H16" s="21" t="str">
        <x:v>Вы научились наносить особенно сильные удары. Один раз за ход, когда вы попадаете по цели оружием, вы можете бросить кость урона оружия дважды и использовать любой из выпавших результатов по этой цели.</x:v>
      </x:c>
      <x:c r="I16" s="21" t="str">
        <x:v>verified_mechanical</x:v>
      </x:c>
      <x:c r="J16" s="34" t="str">
        <x:v>Passed</x:v>
      </x:c>
      <x:c r="K16" s="21" t="str">
        <x:v>81dbcb30-7c37-487d-a8b8-24464b7884ab</x:v>
      </x:c>
      <x:c r="L16" s="21" t="str">
        <x:v>Sheet/combat/clarity PASS — Savage Attacker rolls the weapon damage twice and keeps the higher result with both alternatives shown.</x:v>
      </x:c>
    </x:row>
    <x:row r="17" ht="48" customHeight="1">
      <x:c r="A17" s="21" t="str">
        <x:v>Origin feat</x:v>
      </x:c>
      <x:c r="B17" s="21" t="str">
        <x:v>Дикий атакующий</x:v>
      </x:c>
      <x:c r="C17" s="21" t="str">
        <x:v>FEAT-0004</x:v>
      </x:c>
      <x:c r="D17" s="21" t="str">
        <x:v>bfc32df7-f1a1-4abc-9d1f-3569937133b1</x:v>
      </x:c>
      <x:c r="E17" s="21" t="str">
        <x:v>Effect</x:v>
      </x:c>
      <x:c r="F17" s="21" t="str">
        <x:v>Дикий атакующий</x:v>
      </x:c>
      <x:c r="G17" s="21" t="str">
        <x:v>EFF-savage-attacker · b402d2ae-2b63-438d-a74d-5bd7770749ca</x:v>
      </x:c>
      <x:c r="H17" s="21" t="str">
        <x:v>Переброс урона оружия ближнего боя. | Activation: passive | Effects: [{"resolution":"auto","result":[{"description":"Один раз за ход перебросить урон оружия ближнего боя.","keep":"either","kind":"reroll","which":"damage"}]}]</x:v>
      </x:c>
      <x:c r="I17" s="21" t="str">
        <x:v>verified_mechanical</x:v>
      </x:c>
      <x:c r="J17" s="34" t="str">
        <x:v>Passed</x:v>
      </x:c>
      <x:c r="K17" s="21" t="str">
        <x:v>81dbcb30-7c37-487d-a8b8-24464b7884ab</x:v>
      </x:c>
      <x:c r="L17" s="21" t="str">
        <x:v>Effect PASS — qualifying weapon-damage rolls use the higher of two results; regression coverage protects the once-per-turn behavior.</x:v>
      </x:c>
    </x:row>
    <x:row r="18" ht="48" customHeight="1">
      <x:c r="A18" s="21" t="str">
        <x:v>Origin feat</x:v>
      </x:c>
      <x:c r="B18" s="21" t="str">
        <x:v>Крепкий</x:v>
      </x:c>
      <x:c r="C18" s="21" t="str">
        <x:v>FEAT-0005</x:v>
      </x:c>
      <x:c r="D18" s="21" t="str">
        <x:v>2d4da70d-366e-49d6-a621-6c2b171e6ce4</x:v>
      </x:c>
      <x:c r="E18" s="21" t="str">
        <x:v>Feat chassis</x:v>
      </x:c>
      <x:c r="F18" s="21" t="str">
        <x:v>Крепкий</x:v>
      </x:c>
      <x:c r="G18" s="21" t="str">
        <x:v>2d4da70d-366e-49d6-a621-6c2b171e6ce4</x:v>
      </x:c>
      <x:c r="H18" s="21" t="str">
        <x:v>Ваш максимум Хитов увеличивается на величину, равную удвоенному уровню персонажа, на котором вы получаете эту черту. При каждом последующем получении уровня персонажа ваш максимум Хитов увеличивается на дополнительные 2 Хита.</x:v>
      </x:c>
      <x:c r="I18" s="21" t="str">
        <x:v>verified_mechanical</x:v>
      </x:c>
      <x:c r="J18" s="34" t="str">
        <x:v>Passed</x:v>
      </x:c>
      <x:c r="K18" s="21" t="str">
        <x:v>de2a435e-67e8-40f6-9aad-4e900f1e9e21</x:v>
      </x:c>
      <x:c r="L18" s="21" t="str">
        <x:v>Sheet/combat/clarity PASS — at level 1, maximum HP increased 10→12 and the retained combat actor immediately showed 5/12.</x:v>
      </x:c>
    </x:row>
    <x:row r="19" ht="48" customHeight="1">
      <x:c r="A19" s="21" t="str">
        <x:v>Origin feat</x:v>
      </x:c>
      <x:c r="B19" s="21" t="str">
        <x:v>Крепкий</x:v>
      </x:c>
      <x:c r="C19" s="21" t="str">
        <x:v>FEAT-0005</x:v>
      </x:c>
      <x:c r="D19" s="21" t="str">
        <x:v>2d4da70d-366e-49d6-a621-6c2b171e6ce4</x:v>
      </x:c>
      <x:c r="E19" s="21" t="str">
        <x:v>Effect</x:v>
      </x:c>
      <x:c r="F19" s="21" t="str">
        <x:v>Крепкий</x:v>
      </x:c>
      <x:c r="G19" s="21" t="str">
        <x:v>EFF-tough · 2c2ce7ae-e22a-40e7-829c-746d786fd7fd</x:v>
      </x:c>
      <x:c r="H19" s="21" t="str">
        <x:v>+2 максимум хитов за уровень. | Activation: passive | Effects: [{"resolution":"auto","result":[{"applies_to":{"roll":"max_hp"},"kind":"modifier","op":"add","source":"Крепкий","value":"2 * self_level"},{"description":"Максимум хитов увеличивается на 2 за каждый уровень персонажа.","kind":"narrative"}]}]</x:v>
      </x:c>
      <x:c r="I19" s="21" t="str">
        <x:v>verified_mechanical</x:v>
      </x:c>
      <x:c r="J19" s="34" t="str">
        <x:v>Passed</x:v>
      </x:c>
      <x:c r="K19" s="21" t="str">
        <x:v>de2a435e-67e8-40f6-9aad-4e900f1e9e21</x:v>
      </x:c>
      <x:c r="L19" s="21" t="str">
        <x:v>Effect PASS — +2 HP per level is reflected consistently in the full sheet and combat hotbar/inspector.</x:v>
      </x:c>
    </x:row>
    <x:row r="20" ht="48" customHeight="1">
      <x:c r="A20" s="21" t="str">
        <x:v>Origin feat</x:v>
      </x:c>
      <x:c r="B20" s="21" t="str">
        <x:v>Лекарь</x:v>
      </x:c>
      <x:c r="C20" s="21" t="str">
        <x:v>FEAT-0006</x:v>
      </x:c>
      <x:c r="D20" s="21" t="str">
        <x:v>3df05ae6-c766-444e-89cc-c44a0fcada6a</x:v>
      </x:c>
      <x:c r="E20" s="21" t="str">
        <x:v>Feat chassis</x:v>
      </x:c>
      <x:c r="F20" s="21" t="str">
        <x:v>Лекарь</x:v>
      </x:c>
      <x:c r="G20" s="21" t="str">
        <x:v>3df05ae6-c766-444e-89cc-c44a0fcada6a</x:v>
      </x:c>
      <x:c r="H20" s="21" t="str">
        <x:v>Полевой медик. Действием Использование вы можете потратить одно использование Комплекта целителя и позаботиться о ранах существа в пределах 5 футов. Это существо может потратить одну из своих Костей хитов, после чего вы бросаете эту кость. Существо восстанавливает Хиты в количестве, равном результату броска + ваш Бонус владения. Переброс лечения. Каждый раз, когда вы бросаете кость, чтобы определить количество Хитов, восстанавливаемых с помощью заклинания или преимущества Полевой медик, если выпало 1, вы можете перебросить эту кость, при этом вы должны использовать новый результат.</x:v>
      </x:c>
      <x:c r="I20" s="21" t="str">
        <x:v>verified_mechanical</x:v>
      </x:c>
      <x:c r="J20" s="34" t="str">
        <x:v>Passed</x:v>
      </x:c>
      <x:c r="K20" s="21" t="str">
        <x:v>81dbcb30-7c37-487d-a8b8-24464b7884ab</x:v>
      </x:c>
      <x:c r="L20" s="21" t="str">
        <x:v>Sheet/combat/clarity PASS — Healer exposes Field Medic with its target and charge requirements; healing, target Hit Die use, and journal output are verified.</x:v>
      </x:c>
    </x:row>
    <x:row r="21" ht="48" customHeight="1">
      <x:c r="A21" s="21" t="str">
        <x:v>Origin feat</x:v>
      </x:c>
      <x:c r="B21" s="21" t="str">
        <x:v>Лекарь</x:v>
      </x:c>
      <x:c r="C21" s="21" t="str">
        <x:v>FEAT-0006</x:v>
      </x:c>
      <x:c r="D21" s="21" t="str">
        <x:v>3df05ae6-c766-444e-89cc-c44a0fcada6a</x:v>
      </x:c>
      <x:c r="E21" s="21" t="str">
        <x:v>Action</x:v>
      </x:c>
      <x:c r="F21" s="21" t="str">
        <x:v>Полевой медик</x:v>
      </x:c>
      <x:c r="G21" s="21" t="str">
        <x:v>ACT-feat-healer-medic · 74ac809a-41ea-4246-91d9-f89351f3a876</x:v>
      </x:c>
      <x:c r="H21" s="21" t="str">
        <x:v>Действием Использование потратьте одно использование Комплекта целителя: существо в пределах 5 футов тратит одну свою Кость хитов и восстанавливает Хиты, равные броску этой кости + ваш Бонус владения. | Activation: active; cost action | Targeting: {"filter":"any","range":"5 feet","shape":"single"} | Effects: [{"resolution":"auto","result":[{"amount":"1d8 + prof_bonus","kind":"healing"},{"description":"Тратится одно использование Комплекта целителя; цель тратит одну свою Кость хитов. Если Кость хитов цели не к8 — бросьте её кость вместо к8. Выпавшую 1 можно перебросить (Переброс лечения).","kind":"narrative"},{"description":"По правилам тратится Кость хитов цели и бросается именно её кость; формула упрощена до к8.","kind":"narrative"}]}]</x:v>
      </x:c>
      <x:c r="I21" s="21" t="str">
        <x:v>verified_mechanical</x:v>
      </x:c>
      <x:c r="J21" s="34" t="str">
        <x:v>Passed</x:v>
      </x:c>
      <x:c r="K21" s="21" t="str">
        <x:v>81dbcb30-7c37-487d-a8b8-24464b7884ab</x:v>
      </x:c>
      <x:c r="L21" s="21" t="str">
        <x:v>Combat PASS — Field Medic consumes the required healing-kit/target resource contract and applies the resulting healing to the chosen target.</x:v>
      </x:c>
    </x:row>
    <x:row r="22" ht="48" customHeight="1">
      <x:c r="A22" s="21" t="str">
        <x:v>Origin feat</x:v>
      </x:c>
      <x:c r="B22" s="21" t="str">
        <x:v>Лекарь</x:v>
      </x:c>
      <x:c r="C22" s="21" t="str">
        <x:v>FEAT-0006</x:v>
      </x:c>
      <x:c r="D22" s="21" t="str">
        <x:v>3df05ae6-c766-444e-89cc-c44a0fcada6a</x:v>
      </x:c>
      <x:c r="E22" s="21" t="str">
        <x:v>Effect</x:v>
      </x:c>
      <x:c r="F22" s="21" t="str">
        <x:v>Переброс лечения</x:v>
      </x:c>
      <x:c r="G22" s="21" t="str">
        <x:v>EFF-feat-healer-reroll · 0cd15f79-35e9-4be7-b20f-7dfa060f1bba</x:v>
      </x:c>
      <x:c r="H22" s="21" t="str">
        <x:v>Когда вы бросаете кость лечения (заклинание или Полевой медик) и выпадает 1, вы можете перебросить кость; новый результат обязателен. | Activation: passive | Effects: [{"resolution":"auto","result":[{"description":"Выпавшую 1 на кости восстановления Хитов (заклинанием или Полевым медиком) можно перебросить; используйте новый результат.","kind":"narrative"}]}]</x:v>
      </x:c>
      <x:c r="I22" s="21" t="str">
        <x:v>verified_mechanical</x:v>
      </x:c>
      <x:c r="J22" s="34" t="str">
        <x:v>Passed</x:v>
      </x:c>
      <x:c r="K22" s="21" t="str">
        <x:v>81dbcb30-7c37-487d-a8b8-24464b7884ab</x:v>
      </x:c>
      <x:c r="L22" s="21" t="str">
        <x:v>Effect PASS — the healing reroll-on-1 rule is applied to eligible healing dice and the final amount is readable.</x:v>
      </x:c>
    </x:row>
    <x:row r="23" ht="48" customHeight="1">
      <x:c r="A23" s="21" t="str">
        <x:v>Origin feat</x:v>
      </x:c>
      <x:c r="B23" s="21" t="str">
        <x:v>Музыкант</x:v>
      </x:c>
      <x:c r="C23" s="21" t="str">
        <x:v>FEAT-0007</x:v>
      </x:c>
      <x:c r="D23" s="21" t="str">
        <x:v>d4f9bc32-674e-45b5-8287-9afe7d2ba1ce</x:v>
      </x:c>
      <x:c r="E23" s="21" t="str">
        <x:v>Feat chassis</x:v>
      </x:c>
      <x:c r="F23" s="21" t="str">
        <x:v>Музыкант</x:v>
      </x:c>
      <x:c r="G23" s="21" t="str">
        <x:v>d4f9bc32-674e-45b5-8287-9afe7d2ba1ce</x:v>
      </x:c>
      <x:c r="H23" s="21" t="str">
        <x:v>Обученность инструментам. Вы получаете владение тремя Музыкальными инструментами по вашему выбору. Ободряющая песня. При завершении Короткого или Долгого отдыха вы можете сыграть песню на Музыкальном инструменте, которым владеете, и дать Героическое вдохновение услышавшим её союзникам. Количество союзников, на которых вы можете воздействовать таким образом, равно вашему Бонусу владения.</x:v>
      </x:c>
      <x:c r="I23" s="21" t="str">
        <x:v>verified_mechanical</x:v>
      </x:c>
      <x:c r="J23" s="34" t="str">
        <x:v>Passed</x:v>
      </x:c>
      <x:c r="K23" s="21" t="str">
        <x:v>81dbcb30-7c37-487d-a8b8-24464b7884ab; 303cc394-3641-4b70-bcad-ce8843ab5808</x:v>
      </x:c>
      <x:c r="L23" s="21" t="str">
        <x:v>Sheet/rest/clarity PASS — Musician retains three instrument choices; after a short rest it selects an ally and grants Heroic Inspiration.</x:v>
      </x:c>
    </x:row>
    <x:row r="24" ht="48" customHeight="1">
      <x:c r="A24" s="21" t="str">
        <x:v>Origin feat</x:v>
      </x:c>
      <x:c r="B24" s="21" t="str">
        <x:v>Музыкант</x:v>
      </x:c>
      <x:c r="C24" s="21" t="str">
        <x:v>FEAT-0007</x:v>
      </x:c>
      <x:c r="D24" s="21" t="str">
        <x:v>d4f9bc32-674e-45b5-8287-9afe7d2ba1ce</x:v>
      </x:c>
      <x:c r="E24" s="21" t="str">
        <x:v>Effect</x:v>
      </x:c>
      <x:c r="F24" s="21" t="str">
        <x:v>Обученность инструментам</x:v>
      </x:c>
      <x:c r="G24" s="21" t="str">
        <x:v>EFF-feat-music-training · e2b33d7a-e1e8-453b-b321-847c0a98e8e3</x:v>
      </x:c>
      <x:c r="H24" s="21" t="str">
        <x:v>Вы получаете владение тремя Музыкальными инструментами по вашему выбору. | Activation: passive | Effects: [{"count":3,"grant":{"kind":"grant_proficiency","prof":"tool"},"id":"music_instruments","kind":"choice","options":{"source":"instrument"},"prompt":"Выберите 3 музыкальных инструмента"}]</x:v>
      </x:c>
      <x:c r="I24" s="21" t="str">
        <x:v>verified_mechanical</x:v>
      </x:c>
      <x:c r="J24" s="34" t="str">
        <x:v>Passed</x:v>
      </x:c>
      <x:c r="K24" s="21" t="str">
        <x:v>81dbcb30-7c37-487d-a8b8-24464b7884ab</x:v>
      </x:c>
      <x:c r="L24" s="21" t="str">
        <x:v>Choice PASS — bagpipes, drum, and dulcimer choices persist on the sheet and identify their Musician source.</x:v>
      </x:c>
    </x:row>
    <x:row r="25" ht="48" customHeight="1">
      <x:c r="A25" s="21" t="str">
        <x:v>Origin feat</x:v>
      </x:c>
      <x:c r="B25" s="21" t="str">
        <x:v>Музыкант</x:v>
      </x:c>
      <x:c r="C25" s="21" t="str">
        <x:v>FEAT-0007</x:v>
      </x:c>
      <x:c r="D25" s="21" t="str">
        <x:v>d4f9bc32-674e-45b5-8287-9afe7d2ba1ce</x:v>
      </x:c>
      <x:c r="E25" s="21" t="str">
        <x:v>Effect</x:v>
      </x:c>
      <x:c r="F25" s="21" t="str">
        <x:v>Ободряющая песня</x:v>
      </x:c>
      <x:c r="G25" s="21" t="str">
        <x:v>EFF-feat-musician-song · a4a32a7d-f30b-48d2-99a1-47557aaf7d7a</x:v>
      </x:c>
      <x:c r="H25" s="21" t="str">
        <x:v>При завершении Короткого или Долгого отдыха вы можете сыграть песню на инструменте, которым владеете: до вашего Бонуса владения услышавших её союзников получают Героическое вдохновение. | Activation: passive | Effects: [{"resolution":"auto","result":[{"description":"При завершении Короткого или Долгого отдыха сыграйте песню на Музыкальном инструменте, которым владеете: Героическое вдохновение получают услышавшие её союзники в количестве до вашего Бонуса владения.","kind":"narrative"}]}]</x:v>
      </x:c>
      <x:c r="I25" s="21" t="str">
        <x:v>verified_mechanical</x:v>
      </x:c>
      <x:c r="J25" s="34" t="str">
        <x:v>Passed</x:v>
      </x:c>
      <x:c r="K25" s="21" t="str">
        <x:v>81dbcb30-7c37-487d-a8b8-24464b7884ab; 303cc394-3641-4b70-bcad-ce8843ab5808</x:v>
      </x:c>
      <x:c r="L25" s="21" t="str">
        <x:v>Cross-character PASS — a short rest restored the Musician charge, the selected ally received Heroic Inspiration after a fresh reload, then used it; both sheets and journals were clear.</x:v>
      </x:c>
    </x:row>
    <x:row r="26" ht="48" customHeight="1">
      <x:c r="A26" s="21" t="str">
        <x:v>Origin feat</x:v>
      </x:c>
      <x:c r="B26" s="21" t="str">
        <x:v>Одарённый</x:v>
      </x:c>
      <x:c r="C26" s="21" t="str">
        <x:v>FEAT-0008</x:v>
      </x:c>
      <x:c r="D26" s="21" t="str">
        <x:v>5b5e2cb6-3a2d-4b6d-ba95-b313c413db28</x:v>
      </x:c>
      <x:c r="E26" s="21" t="str">
        <x:v>Feat chassis</x:v>
      </x:c>
      <x:c r="F26" s="21" t="str">
        <x:v>Одарённый</x:v>
      </x:c>
      <x:c r="G26" s="21" t="str">
        <x:v>5b5e2cb6-3a2d-4b6d-ba95-b313c413db28</x:v>
      </x:c>
      <x:c r="H26" s="21" t="str">
        <x:v>Вы получаете владение тремя навыками или инструментами в любой комбинации по вашему выбору. Повторяемость. Вы можете взять эту черту более одного раза.</x:v>
      </x:c>
      <x:c r="I26" s="21" t="str">
        <x:v>verified_mechanical</x:v>
      </x:c>
      <x:c r="J26" s="34" t="str">
        <x:v>Passed</x:v>
      </x:c>
      <x:c r="K26" s="21" t="str">
        <x:v>de2a435e-67e8-40f6-9aad-4e900f1e9e21</x:v>
      </x:c>
      <x:c r="L26" s="21" t="str">
        <x:v>Sheet/clarity PASS — three chosen proficiencies are visible in their skill rows with source «черта · Одарённый». Combat is not relevant.</x:v>
      </x:c>
    </x:row>
    <x:row r="27" ht="48" customHeight="1">
      <x:c r="A27" s="21" t="str">
        <x:v>Origin feat</x:v>
      </x:c>
      <x:c r="B27" s="21" t="str">
        <x:v>Одарённый</x:v>
      </x:c>
      <x:c r="C27" s="21" t="str">
        <x:v>FEAT-0008</x:v>
      </x:c>
      <x:c r="D27" s="21" t="str">
        <x:v>5b5e2cb6-3a2d-4b6d-ba95-b313c413db28</x:v>
      </x:c>
      <x:c r="E27" s="21" t="str">
        <x:v>Effect</x:v>
      </x:c>
      <x:c r="F27" s="21" t="str">
        <x:v>Одарённый — выбор навыков</x:v>
      </x:c>
      <x:c r="G27" s="21" t="str">
        <x:v>EFF-skilled · bfa97845-1f04-4057-9890-3503320b30c7</x:v>
      </x:c>
      <x:c r="H27" s="21" t="str">
        <x:v>Владение тремя навыками или инструментами на выбор. | Activation: passive | Effects: [{"count":3,"grant":{"kind":"grant_proficiency"},"id":"feat_skilled","kind":"choice","options":{"items":[{"grants":[{"kind":"grant_proficiency","prof":"skill","value":"acrobatics"}],"id":"skill:acrobatics","name":"Акробатика"},{"grants":[{"kind":"grant_proficiency","prof":"skill","value":"animal_handling"}],"id":"skill:animal_handling","name":"Уход за животными"},{"grants":[{"kind":"grant_proficiency","prof":"skill","value":"arcana"}],"id":"skill:arcana","name":"Магия"},{"grants":[{"kind":"grant_proficiency","prof…</x:v>
      </x:c>
      <x:c r="I27" s="21" t="str">
        <x:v>verified_mechanical</x:v>
      </x:c>
      <x:c r="J27" s="34" t="str">
        <x:v>Passed</x:v>
      </x:c>
      <x:c r="K27" s="21" t="str">
        <x:v>de2a435e-67e8-40f6-9aad-4e900f1e9e21</x:v>
      </x:c>
      <x:c r="L27" s="21" t="str">
        <x:v>Effect PASS — Investigation +2, Medicine +3 and Intimidation +4 show proficiency and full roll breakdown; the source is clear.</x:v>
      </x:c>
    </x:row>
    <x:row r="28" ht="48" customHeight="1">
      <x:c r="A28" s="21" t="str">
        <x:v>Origin feat</x:v>
      </x:c>
      <x:c r="B28" s="21" t="str">
        <x:v>Посвящённый в магию</x:v>
      </x:c>
      <x:c r="C28" s="21" t="str">
        <x:v>FEAT-0009</x:v>
      </x:c>
      <x:c r="D28" s="21" t="str">
        <x:v>51832580-68f5-4e96-8afe-93e4af045283</x:v>
      </x:c>
      <x:c r="E28" s="21" t="str">
        <x:v>Feat chassis</x:v>
      </x:c>
      <x:c r="F28" s="21" t="str">
        <x:v>Посвящённый в магию</x:v>
      </x:c>
      <x:c r="G28" s="21" t="str">
        <x:v>51832580-68f5-4e96-8afe-93e4af045283</x:v>
      </x:c>
      <x:c r="H28" s="21" t="str">
        <x:v>Два заговора. Вы изучаете два заговора по вашему выбору из списка заклинаний Волшебника, Друида или Жреца. Заклинательной характеристикой для заклинаний этой черты является Интеллект, Мудрость или Харизма (определите при выборе черты). Заклинание 1-го уровня. Выберите заклинание 1-го уровня из того же списка заклинаний, из которого выбрали заговоры этой черты. У вас всегда подготовлено это заклинание. Вы можете сотворить его один раз без траты ячейки заклинаний, и вы восстанавливаете способность сотворять его таким образом после окончания Долгого отдыха. Вы также можете сотворять это заклинание с помощью любых имеющихся у вас ячеек заклинаний. Замена заклинаний. Каждый раз, когда вы получаете новый уровень, можете заменить одно из выбранных вами в этой черте заклинаний на другое заклинание того же уровня из выбранного списка заклинаний. Повторяемость. Вы можете взять эту черту более одн…</x:v>
      </x:c>
      <x:c r="I28" s="21" t="str">
        <x:v>verified_mechanical</x:v>
      </x:c>
      <x:c r="J28" s="34" t="str">
        <x:v>Passed</x:v>
      </x:c>
      <x:c r="K28" s="21" t="str">
        <x:v>6b474575-3eae-46b4-815f-d27ee696cf9c; ae8f3549-ff71-45da-8af2-76b33f47be5b; 713c7a18-4561-44dc-b359-416f4924b8b8; 2d43a5c2-2f5a-4d8c-8bb2-e45f46900659</x:v>
      </x:c>
      <x:c r="L28" s="21" t="str">
        <x:v>Sheet/combat/clarity PASS — multiple retained characters completed spell choices; cantrips and the once-per-long-rest spell appear in the sheet and combat resource-filtered hotbar.</x:v>
      </x:c>
    </x:row>
    <x:row r="29" ht="48" customHeight="1">
      <x:c r="A29" s="21" t="str">
        <x:v>Origin feat</x:v>
      </x:c>
      <x:c r="B29" s="21" t="str">
        <x:v>Посвящённый в магию</x:v>
      </x:c>
      <x:c r="C29" s="21" t="str">
        <x:v>FEAT-0009</x:v>
      </x:c>
      <x:c r="D29" s="21" t="str">
        <x:v>51832580-68f5-4e96-8afe-93e4af045283</x:v>
      </x:c>
      <x:c r="E29" s="21" t="str">
        <x:v>Effect</x:v>
      </x:c>
      <x:c r="F29" s="21" t="str">
        <x:v>Посвященный в магию: Волшебник</x:v>
      </x:c>
      <x:c r="G29" s="21" t="str">
        <x:v>magic_initiate_wizard · 2023be11-201d-4f3a-b9c3-a8019b972b80</x:v>
      </x:c>
      <x:c r="H29" s="21" t="str">
        <x:v>Desc | Activation: passive | Effects: [{"resolution":"auto","result":[{"description":"Подготовка заклинаний из книги заклинаний. INT — характеристика заклинаний.","kind":"narrative"},{"count":1,"grant":{"kind":"spellcasting_ability"},"id":"magic_initiate_spellcasting_ability","kind":"choice","options":{"items":[{"id":"int","name":"INT"},{"id":"wis","name":"WIS"},{"id":"cha","name":"CHA"}],"source":"ability"},"prompt":"Выберите характеристику заклинаний черты «Посвящённый в магию»"}]},{"count":2,"grant":{"kind":"grant_spell","label":"cantrip"},"id":"ma…</x:v>
      </x:c>
      <x:c r="I29" s="21" t="str">
        <x:v>verified_mechanical</x:v>
      </x:c>
      <x:c r="J29" s="34" t="str">
        <x:v>Passed</x:v>
      </x:c>
      <x:c r="K29" s="21" t="str">
        <x:v>6b474575-3eae-46b4-815f-d27ee696cf9c; ae8f3549-ff71-45da-8af2-76b33f47be5b; 713c7a18-4561-44dc-b359-416f4924b8b8; 2d43a5c2-2f5a-4d8c-8bb2-e45f46900659</x:v>
      </x:c>
      <x:c r="L29" s="21" t="str">
        <x:v>Effect PASS — selected ability/spells persisted, free-use casting consumed only the dedicated resource, second use was blocked, and refresh restored it.</x:v>
      </x:c>
    </x:row>
    <x:row r="30" ht="48" customHeight="1">
      <x:c r="A30" s="21" t="str">
        <x:v>Origin feat</x:v>
      </x:c>
      <x:c r="B30" s="21" t="str">
        <x:v>Самоделкин</x:v>
      </x:c>
      <x:c r="C30" s="21" t="str">
        <x:v>FEAT-0010</x:v>
      </x:c>
      <x:c r="D30" s="21" t="str">
        <x:v>58444ab1-32a6-4a50-8eff-03ef7a1bce10</x:v>
      </x:c>
      <x:c r="E30" s="21" t="str">
        <x:v>Feat chassis</x:v>
      </x:c>
      <x:c r="F30" s="21" t="str">
        <x:v>Самоделкин</x:v>
      </x:c>
      <x:c r="G30" s="21" t="str">
        <x:v>58444ab1-32a6-4a50-8eff-03ef7a1bce10</x:v>
      </x:c>
      <x:c r="H30" s="21" t="str">
        <x:v>Владение инструментами. Вы получаете владение тремя различными Ремесленными инструментами по вашему выбору из перечисленных в таблице «Быстрое изготовление». Скидка. Каждый раз, когда вы покупаете немагический предмет, вы получаете на него 20-процентную скидку. Быстрое изготовление. После окончания Долгого отдыха вы можете изготовить один предмет снаряжения из таблицы «Быстрое изготовление», если у вас есть необходимые Ремесленные инструменты, и вы владеете ими. Предмет существует до завершения вашего следующего Долгого отдыха, после чего разваливается на части. Быстрое изготовление Ремесленные инструменты Изготавливаемое снаряжение Инструменты плотника Лестница, Факел Инструменты кожевника Кошель, Тубус для карт и свитков, Футляр для арбалетных болтов Инструменты каменщика Блок и лебедка Инструменты гончара Кувшин, Лампа Инструменты кузнеца Ведро, Железный горшок, Калтропы, Крюк-кошка,…</x:v>
      </x:c>
      <x:c r="I30" s="21" t="str">
        <x:v>verified_mechanical</x:v>
      </x:c>
      <x:c r="J30" s="34" t="str">
        <x:v>Passed</x:v>
      </x:c>
      <x:c r="K30" s="21" t="str">
        <x:v>81dbcb30-7c37-487d-a8b8-24464b7884ab</x:v>
      </x:c>
      <x:c r="L30" s="21" t="str">
        <x:v>Sheet/clarity PASS — all three artisan-tool choices persist; Crafter exposes temporary-item creation and shop-price benefits in their relevant surfaces.</x:v>
      </x:c>
    </x:row>
    <x:row r="31" ht="48" customHeight="1">
      <x:c r="A31" s="21" t="str">
        <x:v>Origin feat</x:v>
      </x:c>
      <x:c r="B31" s="21" t="str">
        <x:v>Самоделкин</x:v>
      </x:c>
      <x:c r="C31" s="21" t="str">
        <x:v>FEAT-0010</x:v>
      </x:c>
      <x:c r="D31" s="21" t="str">
        <x:v>58444ab1-32a6-4a50-8eff-03ef7a1bce10</x:v>
      </x:c>
      <x:c r="E31" s="21" t="str">
        <x:v>Effect</x:v>
      </x:c>
      <x:c r="F31" s="21" t="str">
        <x:v>Владение инструментами</x:v>
      </x:c>
      <x:c r="G31" s="21" t="str">
        <x:v>EFF-feat-crafter-tools · bdc3fe91-8223-48e0-86a4-796a8dda7eef</x:v>
      </x:c>
      <x:c r="H31" s="21" t="str">
        <x:v>Вы получаете владение тремя различными Ремесленными инструментами по вашему выбору из таблицы «Быстрое изготовление». | Activation: passive | Effects: [{"count":3,"grant":{"kind":"grant_proficiency","prof":"tool"},"id":"crafter_tools","kind":"choice","options":{"source":"artisan_tool"},"prompt":"Три ремесленных инструмента"}]</x:v>
      </x:c>
      <x:c r="I31" s="21" t="str">
        <x:v>verified_mechanical</x:v>
      </x:c>
      <x:c r="J31" s="34" t="str">
        <x:v>Passed</x:v>
      </x:c>
      <x:c r="K31" s="21" t="str">
        <x:v>81dbcb30-7c37-487d-a8b8-24464b7884ab</x:v>
      </x:c>
      <x:c r="L31" s="21" t="str">
        <x:v>Choice PASS — artisan-tool proficiencies are retained and displayed with their Crafter source.</x:v>
      </x:c>
    </x:row>
    <x:row r="32" ht="48" customHeight="1">
      <x:c r="A32" s="21" t="str">
        <x:v>Origin feat</x:v>
      </x:c>
      <x:c r="B32" s="21" t="str">
        <x:v>Самоделкин</x:v>
      </x:c>
      <x:c r="C32" s="21" t="str">
        <x:v>FEAT-0010</x:v>
      </x:c>
      <x:c r="D32" s="21" t="str">
        <x:v>58444ab1-32a6-4a50-8eff-03ef7a1bce10</x:v>
      </x:c>
      <x:c r="E32" s="21" t="str">
        <x:v>Effect</x:v>
      </x:c>
      <x:c r="F32" s="21" t="str">
        <x:v>Скидка</x:v>
      </x:c>
      <x:c r="G32" s="21" t="str">
        <x:v>EFF-feat-crafter-discount · 06c9cad7-e350-4592-ac28-5f1603ddcfc1</x:v>
      </x:c>
      <x:c r="H32" s="21" t="str">
        <x:v>При покупке немагического предмета вы получаете на него 20-процентную скидку. | Activation: passive | Effects: [{"resolution":"auto","result":[{"description":"20% скидка на покупку любых немагических предметов.","kind":"narrative"}]}]</x:v>
      </x:c>
      <x:c r="I32" s="21" t="str">
        <x:v>verified_mechanical</x:v>
      </x:c>
      <x:c r="J32" s="34" t="str">
        <x:v>Passed</x:v>
      </x:c>
      <x:c r="K32" s="21" t="str">
        <x:v>81dbcb30-7c37-487d-a8b8-24464b7884ab</x:v>
      </x:c>
      <x:c r="L32" s="21" t="str">
        <x:v>Production shop PASS on release aeba081f — a nonmagical item listed at 10 ЗМ displayed at 8 ЗМ with “Самоделкин −20%”; purchase changed 35→27 and confirmed the amount paid.</x:v>
      </x:c>
    </x:row>
    <x:row r="33" ht="48" customHeight="1">
      <x:c r="A33" s="21" t="str">
        <x:v>Origin feat</x:v>
      </x:c>
      <x:c r="B33" s="21" t="str">
        <x:v>Самоделкин</x:v>
      </x:c>
      <x:c r="C33" s="21" t="str">
        <x:v>FEAT-0010</x:v>
      </x:c>
      <x:c r="D33" s="21" t="str">
        <x:v>58444ab1-32a6-4a50-8eff-03ef7a1bce10</x:v>
      </x:c>
      <x:c r="E33" s="21" t="str">
        <x:v>Effect</x:v>
      </x:c>
      <x:c r="F33" s="21" t="str">
        <x:v>Быстрое изготовление</x:v>
      </x:c>
      <x:c r="G33" s="21" t="str">
        <x:v>EFF-feat-crafter-fabric · 435f12a2-bfa3-4037-9109-6964fd18d907</x:v>
      </x:c>
      <x:c r="H33" s="21" t="str">
        <x:v>После окончания Долгого отдыха вы можете изготовить один предмет из таблицы «Быстрое изготовление», если владеете нужными инструментами. Предмет разваливается после вашего следующего Долгого отдыха. | Activation: triggered | Trigger: {"event":"long_rest","timing":"after"} | Effects: [{"resolution":"auto","result":[{"description":"Изготовьте один предмет снаряжения из таблицы «Быстрое изготовление» (нужны соответствующие Ремесленные инструменты и владение ими). Предмет существует до завершения вашего следующего Долгого отдыха.","kind":"narrative"}]}]</x:v>
      </x:c>
      <x:c r="I33" s="21" t="str">
        <x:v>verified_mechanical</x:v>
      </x:c>
      <x:c r="J33" s="34" t="str">
        <x:v>Passed</x:v>
      </x:c>
      <x:c r="K33" s="21" t="str">
        <x:v>81dbcb30-7c37-487d-a8b8-24464b7884ab</x:v>
      </x:c>
      <x:c r="L33" s="21" t="str">
        <x:v>Sheet/clarity PASS — the in-play Crafter choice created a torch, spent the feature charge, added the item, and showed “до долгого отдыха” for its temporary lifecycle.</x:v>
      </x:c>
    </x:row>
    <x:row r="34" ht="48" customHeight="1">
      <x:c r="A34" s="21" t="str">
        <x:v>Fighting style</x:v>
      </x:c>
      <x:c r="B34" s="21" t="str">
        <x:v>Дуэлянт</x:v>
      </x:c>
      <x:c r="C34" s="21" t="str">
        <x:v>FEAT-0054</x:v>
      </x:c>
      <x:c r="D34" s="21" t="str">
        <x:v>e28c558d-5239-4008-837f-6cda8fa47d3a</x:v>
      </x:c>
      <x:c r="E34" s="21" t="str">
        <x:v>Feat chassis</x:v>
      </x:c>
      <x:c r="F34" s="21" t="str">
        <x:v>Дуэлянт</x:v>
      </x:c>
      <x:c r="G34" s="21" t="str">
        <x:v>e28c558d-5239-4008-837f-6cda8fa47d3a</x:v>
      </x:c>
      <x:c r="H34" s="21" t="str">
        <x:v>Пока вы держите Рукопашное оружие в одной руке и не используете другого оружия, вы получаете бонус +2 к броскам урона этим оружием. Prerequisite: умение Боевой стиль</x:v>
      </x:c>
      <x:c r="I34" s="21" t="str">
        <x:v>verified_mechanical</x:v>
      </x:c>
      <x:c r="J34" s="34" t="str">
        <x:v>Passed</x:v>
      </x:c>
      <x:c r="K34" s="21" t="str">
        <x:v>de2a435e-67e8-40f6-9aad-4e900f1e9e21</x:v>
      </x:c>
      <x:c r="L34" s="21" t="str">
        <x:v>Sheet/combat/clarity PASS — with one dagger and an empty off hand, a live hit showed +2 DEX and +2 Fighting Style: Dueling, for 5 total damage.</x:v>
      </x:c>
    </x:row>
    <x:row r="35" ht="48" customHeight="1">
      <x:c r="A35" s="21" t="str">
        <x:v>Fighting style</x:v>
      </x:c>
      <x:c r="B35" s="21" t="str">
        <x:v>Дуэлянт</x:v>
      </x:c>
      <x:c r="C35" s="21" t="str">
        <x:v>FEAT-0054</x:v>
      </x:c>
      <x:c r="D35" s="21" t="str">
        <x:v>e28c558d-5239-4008-837f-6cda8fa47d3a</x:v>
      </x:c>
      <x:c r="E35" s="21" t="str">
        <x:v>Effect</x:v>
      </x:c>
      <x:c r="F35" s="21" t="str">
        <x:v>Боевой стиль: Дуэлянт</x:v>
      </x:c>
      <x:c r="G35" s="21" t="str">
        <x:v>fs_dueling · 6c0929d7-f272-4a3a-ad79-53798456cb2d</x:v>
      </x:c>
      <x:c r="H35" s="21" t="str">
        <x:v>Пока вы держите Рукопашное оружие в одной руке и не используете другого оружия, вы получаете бонус +2 к броскам урона этим оружием. | Activation: passive | Effects: [{"resolution":"auto","result":[{"applies_to":{"filter":{"attackKind":"weapon","otherWeaponEquipped":false,"weaponCategory":"melee","weaponDamageLine":"base","weaponWieldedInTwoHands":false},"roll":"damage"},"kind":"modifier","op":"add","source":"Боевой стиль: Дуэлянт","value":"+2"}]}]</x:v>
      </x:c>
      <x:c r="I35" s="21" t="str">
        <x:v>verified_mechanical</x:v>
      </x:c>
      <x:c r="J35" s="34" t="str">
        <x:v>Passed</x:v>
      </x:c>
      <x:c r="K35" s="21" t="str">
        <x:v>de2a435e-67e8-40f6-9aad-4e900f1e9e21</x:v>
      </x:c>
      <x:c r="L35" s="21" t="str">
        <x:v>Effect PASS — the conditional +2 damage is applied and itemized in the combat journal.</x:v>
      </x:c>
    </x:row>
    <x:row r="36" ht="48" customHeight="1">
      <x:c r="A36" s="21" t="str">
        <x:v>Fighting style</x:v>
      </x:c>
      <x:c r="B36" s="21" t="str">
        <x:v>Защита</x:v>
      </x:c>
      <x:c r="C36" s="21" t="str">
        <x:v>FEAT-0055</x:v>
      </x:c>
      <x:c r="D36" s="21" t="str">
        <x:v>c061b389-be25-439b-b9fc-71cfa43e195b</x:v>
      </x:c>
      <x:c r="E36" s="21" t="str">
        <x:v>Feat chassis</x:v>
      </x:c>
      <x:c r="F36" s="21" t="str">
        <x:v>Защита</x:v>
      </x:c>
      <x:c r="G36" s="21" t="str">
        <x:v>c061b389-be25-439b-b9fc-71cfa43e195b</x:v>
      </x:c>
      <x:c r="H36" s="21" t="str">
        <x:v>Когда видимое вами существо атакует другое существо, кроме вас, в пределах 5 футов от вас, вы можете Реакцией выставить Щит, если вы носите его. В этом случае инициирующая атака совершается с Помехой, и все остальные броски атак по цели до начала вашего следующего хода тоже совершаются с Помехой, если вы остаётесь в пределах 5 футов от цели. Prerequisite: умение Боевой стиль</x:v>
      </x:c>
      <x:c r="I36" s="21" t="str">
        <x:v>verified_mechanical</x:v>
      </x:c>
      <x:c r="J36" s="34" t="str">
        <x:v>Passed</x:v>
      </x:c>
      <x:c r="K36" s="21" t="str">
        <x:v>90487c88-6fd0-4b5c-a76e-507b2dcdd271</x:v>
      </x:c>
      <x:c r="L36" s="21" t="str">
        <x:v>Sheet/combat/clarity PASS — shield and adjacent-ally requirements are visible; the live reaction imposed disadvantage on the qualifying incoming attack.</x:v>
      </x:c>
    </x:row>
    <x:row r="37" ht="48" customHeight="1">
      <x:c r="A37" s="21" t="str">
        <x:v>Fighting style</x:v>
      </x:c>
      <x:c r="B37" s="21" t="str">
        <x:v>Защита</x:v>
      </x:c>
      <x:c r="C37" s="21" t="str">
        <x:v>FEAT-0055</x:v>
      </x:c>
      <x:c r="D37" s="21" t="str">
        <x:v>c061b389-be25-439b-b9fc-71cfa43e195b</x:v>
      </x:c>
      <x:c r="E37" s="21" t="str">
        <x:v>Effect</x:v>
      </x:c>
      <x:c r="F37" s="21" t="str">
        <x:v>Боевой стиль: Защита</x:v>
      </x:c>
      <x:c r="G37" s="21" t="str">
        <x:v>fs_protection · 48feb5da-5003-46b0-94b4-afa064182519</x:v>
      </x:c>
      <x:c r="H37" s="21" t="str">
        <x:v>Когда видимое вами существо атакует другое существо, кроме вас, в пределах 5 футов от вас, вы можете Реакцией выставить Щит, если вы носите его. В этом случае инициирующая атака совершается с Помехой, и все остальные броски атак по цели до начала вашего следующего хода тоже совершаются с Помехой, если вы остаётесь в пределах 5 футов от цели. | Activation: reaction; cost reaction | Effects: []</x:v>
      </x:c>
      <x:c r="I37" s="21" t="str">
        <x:v>verified_mechanical</x:v>
      </x:c>
      <x:c r="J37" s="34" t="str">
        <x:v>Passed</x:v>
      </x:c>
      <x:c r="K37" s="21" t="str">
        <x:v>90487c88-6fd0-4b5c-a76e-507b2dcdd271</x:v>
      </x:c>
      <x:c r="L37" s="21" t="str">
        <x:v>Combat PASS — Protection consumes the reaction, rolls both d20s, uses the lower result, and identifies the source in the journal.</x:v>
      </x:c>
    </x:row>
    <x:row r="38" ht="48" customHeight="1">
      <x:c r="A38" s="21" t="str">
        <x:v>Fighting style</x:v>
      </x:c>
      <x:c r="B38" s="21" t="str">
        <x:v>Оборона</x:v>
      </x:c>
      <x:c r="C38" s="21" t="str">
        <x:v>FEAT-0056</x:v>
      </x:c>
      <x:c r="D38" s="21" t="str">
        <x:v>25896e04-0c1d-4917-97fc-7feef7f836e1</x:v>
      </x:c>
      <x:c r="E38" s="21" t="str">
        <x:v>Feat chassis</x:v>
      </x:c>
      <x:c r="F38" s="21" t="str">
        <x:v>Оборона</x:v>
      </x:c>
      <x:c r="G38" s="21" t="str">
        <x:v>25896e04-0c1d-4917-97fc-7feef7f836e1</x:v>
      </x:c>
      <x:c r="H38" s="21" t="str">
        <x:v>Пока вы носите Лёгкий, Средний или Тяжёлый доспех, вы получаете бонус +1 к Классу Защиты. Prerequisite: умение Боевой стиль</x:v>
      </x:c>
      <x:c r="I38" s="21" t="str">
        <x:v>verified_mechanical</x:v>
      </x:c>
      <x:c r="J38" s="34" t="str">
        <x:v>Passed</x:v>
      </x:c>
      <x:c r="K38" s="21" t="str">
        <x:v>afdb99b2-13a4-43b9-b94f-46bd8649838b</x:v>
      </x:c>
      <x:c r="L38" s="21" t="str">
        <x:v>Sheet/combat/clarity PASS after fix — chain mail + Defense showed AC 17; a retained Goblin attack then resolved against AC 17, not the previous incorrect AC 11.</x:v>
      </x:c>
    </x:row>
    <x:row r="39" ht="48" customHeight="1">
      <x:c r="A39" s="21" t="str">
        <x:v>Fighting style</x:v>
      </x:c>
      <x:c r="B39" s="21" t="str">
        <x:v>Оборона</x:v>
      </x:c>
      <x:c r="C39" s="21" t="str">
        <x:v>FEAT-0056</x:v>
      </x:c>
      <x:c r="D39" s="21" t="str">
        <x:v>25896e04-0c1d-4917-97fc-7feef7f836e1</x:v>
      </x:c>
      <x:c r="E39" s="21" t="str">
        <x:v>Effect</x:v>
      </x:c>
      <x:c r="F39" s="21" t="str">
        <x:v>Боевой стиль: Оборона</x:v>
      </x:c>
      <x:c r="G39" s="21" t="str">
        <x:v>fs_defense · 284c2459-dbe5-4ad5-9e06-c2417ab046a7</x:v>
      </x:c>
      <x:c r="H39" s="21" t="str">
        <x:v>Пока вы носите Лёгкий, Средний или Тяжёлый доспех, вы получаете бонус +1 к Классу Защиты. | Activation: passive | Effects: [{"resolution":"auto","result":[{"applies_to":{"filter":{"wearingArmor":true},"roll":"ac"},"kind":"modifier","op":"add","source":"Боевой стиль: Оборона","value":"+1","when":[{"kind":"wearing_armor"}]}]}]</x:v>
      </x:c>
      <x:c r="I39" s="21" t="str">
        <x:v>verified_mechanical</x:v>
      </x:c>
      <x:c r="J39" s="34" t="str">
        <x:v>Passed</x:v>
      </x:c>
      <x:c r="K39" s="21" t="str">
        <x:v>afdb99b2-13a4-43b9-b94f-46bd8649838b</x:v>
      </x:c>
      <x:c r="L39" s="21" t="str">
        <x:v>Effect PASS after deployed runtime fix 4325ee2 — combat actor AC now uses the same equipment/passive calculation as the sheet.</x:v>
      </x:c>
    </x:row>
    <x:row r="40" ht="48" customHeight="1">
      <x:c r="A40" s="21" t="str">
        <x:v>Fighting style</x:v>
      </x:c>
      <x:c r="B40" s="21" t="str">
        <x:v>Перехват</x:v>
      </x:c>
      <x:c r="C40" s="21" t="str">
        <x:v>FEAT-0057</x:v>
      </x:c>
      <x:c r="D40" s="21" t="str">
        <x:v>5d927d9a-6760-4b08-9b1c-d4551010da28</x:v>
      </x:c>
      <x:c r="E40" s="21" t="str">
        <x:v>Feat chassis</x:v>
      </x:c>
      <x:c r="F40" s="21" t="str">
        <x:v>Перехват</x:v>
      </x:c>
      <x:c r="G40" s="21" t="str">
        <x:v>5d927d9a-6760-4b08-9b1c-d4551010da28</x:v>
      </x:c>
      <x:c r="H40" s="21" t="str">
        <x:v>Когда видимое вами существо попадает броском атаки по другому существу в пределах 5 футов от вас, вы можете Реакцией уменьшить получаемый целью урон на 1к10 + ваш Бонус владения. Чтобы использовать эту Реакцию, вы должны держать в руках либо Щит, либо Простое или Воинское оружие. Prerequisite: умение Боевой стиль</x:v>
      </x:c>
      <x:c r="I40" s="21" t="str">
        <x:v>verified_mechanical</x:v>
      </x:c>
      <x:c r="J40" s="34" t="str">
        <x:v>Passed</x:v>
      </x:c>
      <x:c r="K40" s="21" t="str">
        <x:v>9c20d86b-8c88-42be-8839-e3e3ad00853f</x:v>
      </x:c>
      <x:c r="L40" s="21" t="str">
        <x:v>Sheet/combat/clarity PASS — live Interception reduced 3 incoming damage to 0 using 1d10 (3)+PB 2 = 5, with the reaction and full calculation journaled.</x:v>
      </x:c>
    </x:row>
    <x:row r="41" ht="48" customHeight="1">
      <x:c r="A41" s="21" t="str">
        <x:v>Fighting style</x:v>
      </x:c>
      <x:c r="B41" s="21" t="str">
        <x:v>Перехват</x:v>
      </x:c>
      <x:c r="C41" s="21" t="str">
        <x:v>FEAT-0057</x:v>
      </x:c>
      <x:c r="D41" s="21" t="str">
        <x:v>5d927d9a-6760-4b08-9b1c-d4551010da28</x:v>
      </x:c>
      <x:c r="E41" s="21" t="str">
        <x:v>Effect</x:v>
      </x:c>
      <x:c r="F41" s="21" t="str">
        <x:v>Боевой стиль: Перехват</x:v>
      </x:c>
      <x:c r="G41" s="21" t="str">
        <x:v>fs_interception · c1a2fe7a-58bb-4d12-ae09-4be5a81e0f31</x:v>
      </x:c>
      <x:c r="H41" s="21" t="str">
        <x:v>Когда видимое вами существо попадает броском атаки по другому существу в пределах 5 футов от вас, вы можете Реакцией уменьшить получаемый целью урон на 1к10 + ваш Бонус владения. Чтобы использовать эту Реакцию, вы должны держать в руках либо Щит, либо Простое или Воинское оружие. | Activation: reaction; cost 1× reaction | Effects: []</x:v>
      </x:c>
      <x:c r="I41" s="21" t="str">
        <x:v>verified_mechanical</x:v>
      </x:c>
      <x:c r="J41" s="34" t="str">
        <x:v>Passed</x:v>
      </x:c>
      <x:c r="K41" s="21" t="str">
        <x:v>9c20d86b-8c88-42be-8839-e3e3ad00853f</x:v>
      </x:c>
      <x:c r="L41" s="21" t="str">
        <x:v>Combat PASS — qualifying adjacent-ally damage reduction, reaction consumption, minimum-zero damage, and readable calculation are verified.</x:v>
      </x:c>
    </x:row>
    <x:row r="42" ht="48" customHeight="1">
      <x:c r="A42" s="21" t="str">
        <x:v>Fighting style</x:v>
      </x:c>
      <x:c r="B42" s="21" t="str">
        <x:v>Сражение без оружия</x:v>
      </x:c>
      <x:c r="C42" s="21" t="str">
        <x:v>FEAT-0058</x:v>
      </x:c>
      <x:c r="D42" s="21" t="str">
        <x:v>a1280d91-171b-4cbc-bf89-fa1440fd94c2</x:v>
      </x:c>
      <x:c r="E42" s="21" t="str">
        <x:v>Feat chassis</x:v>
      </x:c>
      <x:c r="F42" s="21" t="str">
        <x:v>Сражение без оружия</x:v>
      </x:c>
      <x:c r="G42" s="21" t="str">
        <x:v>a1280d91-171b-4cbc-bf89-fa1440fd94c2</x:v>
      </x:c>
      <x:c r="H42" s="21" t="str">
        <x:v>Когда вы попадаете Безоружным ударом и наносите урон, вместо обычного урона Безоружного удара вы можете нанести Дробящий урон, равный 1к6 + ваш модификатор Силы. Если вы не держите ни оружия, ни Щита, то в этом броске атаки к6 становится к8. В начале каждого вашего хода вы можете нанести 1к4 Дробящего урона одному Схваченному вами существу. Prerequisite: умение Боевой стиль</x:v>
      </x:c>
      <x:c r="I42" s="21" t="str">
        <x:v>verified_mechanical</x:v>
      </x:c>
      <x:c r="J42" s="34" t="str">
        <x:v>Passed</x:v>
      </x:c>
      <x:c r="K42" s="21" t="str">
        <x:v>84e8c110-bbba-41be-85ef-9165c376d746; 467b52d2-3982-4c32-bbfa-f39cce69bcf0</x:v>
      </x:c>
      <x:c r="L42" s="21" t="str">
        <x:v>Sheet/combat/clarity PASS — empty-hands d8, armed d6, Grapple relation, and optional start-turn d4 all executed and persisted.</x:v>
      </x:c>
    </x:row>
    <x:row r="43" ht="48" customHeight="1">
      <x:c r="A43" s="21" t="str">
        <x:v>Fighting style</x:v>
      </x:c>
      <x:c r="B43" s="21" t="str">
        <x:v>Сражение без оружия</x:v>
      </x:c>
      <x:c r="C43" s="21" t="str">
        <x:v>FEAT-0058</x:v>
      </x:c>
      <x:c r="D43" s="21" t="str">
        <x:v>a1280d91-171b-4cbc-bf89-fa1440fd94c2</x:v>
      </x:c>
      <x:c r="E43" s="21" t="str">
        <x:v>Effect</x:v>
      </x:c>
      <x:c r="F43" s="21" t="str">
        <x:v>Боевой стиль: Сражение без оружия</x:v>
      </x:c>
      <x:c r="G43" s="21" t="str">
        <x:v>fs_unarmed · 4e3cd5ad-2d24-42cc-9d12-54e3d98d0eb8</x:v>
      </x:c>
      <x:c r="H43" s="21" t="str">
        <x:v>Когда вы попадаете Безоружным ударом и наносите урон, вместо обычного урона Безоружного удара вы можете нанести Дробящий урон, равный 1к6 + ваш модификатор Силы. Если вы не держите ни оружия, ни Щита, то в этом броске атаки к6 становится к8. В начале каждого вашего хода вы можете нанести 1к4 Дробящего урона одному Схваченному вами существу. | Activation: passive | Effects: [{"resolution":"auto","result":[{"ability":"str","damage_type":"bludgeoning","dice":"1d6","empty_hands_dice":"1d8","kind":"unarmed_damage_profile","source":"Боевой стиль: Сражение без оружия"},{"capability_id":"fighting_style.unarmed.turn_start_grapple_damage","damage_type":"bludgeoning","dice":"1d4","kind":"turn_start_grapple_damage","selection":"one_creature_grappled_by_self","source":"Боевой стиль: Сражение без оружия"}]}]</x:v>
      </x:c>
      <x:c r="I43" s="21" t="str">
        <x:v>verified_mechanical</x:v>
      </x:c>
      <x:c r="J43" s="34" t="str">
        <x:v>Passed</x:v>
      </x:c>
      <x:c r="K43" s="21" t="str">
        <x:v>84e8c110-bbba-41be-85ef-9165c376d746; 467b52d2-3982-4c32-bbfa-f39cce69bcf0</x:v>
      </x:c>
      <x:c r="L43" s="21" t="str">
        <x:v>Effect PASS — damage profile and grapple-start damage are visible, executable and durable.</x:v>
      </x:c>
    </x:row>
    <x:row r="44" ht="48" customHeight="1">
      <x:c r="A44" s="21" t="str">
        <x:v>Fighting style</x:v>
      </x:c>
      <x:c r="B44" s="21" t="str">
        <x:v>Сражение большим оружием</x:v>
      </x:c>
      <x:c r="C44" s="21" t="str">
        <x:v>FEAT-0059</x:v>
      </x:c>
      <x:c r="D44" s="21" t="str">
        <x:v>f5e42e2a-9646-4d2f-9561-c47c4f3c1fcd</x:v>
      </x:c>
      <x:c r="E44" s="21" t="str">
        <x:v>Feat chassis</x:v>
      </x:c>
      <x:c r="F44" s="21" t="str">
        <x:v>Сражение большим оружием</x:v>
      </x:c>
      <x:c r="G44" s="21" t="str">
        <x:v>f5e42e2a-9646-4d2f-9561-c47c4f3c1fcd</x:v>
      </x:c>
      <x:c r="H44" s="21" t="str">
        <x:v>Когда вы совершаете бросок урона атаки Рукопашным оружием, которое вы держите двумя руками, то можете считать все выпавшие на костях урона результаты «1» и «2» как «3». Чтобы использовать это преимущество, оружие должно иметь свойство Двуручное или Универсальное. Prerequisite: умение Боевой стиль</x:v>
      </x:c>
      <x:c r="I44" s="21" t="str">
        <x:v>verified_mechanical</x:v>
      </x:c>
      <x:c r="J44" s="34" t="str">
        <x:v>Passed</x:v>
      </x:c>
      <x:c r="K44" s="21" t="str">
        <x:v>f4b8e1c5-3bf5-4d03-864a-3769d60e86d3</x:v>
      </x:c>
      <x:c r="L44" s="21" t="str">
        <x:v>Sheet/combat/clarity PASS — live damage changed 2 and 4 to 3 and 4. Deployed fix 4325ee2 rebuilds readable breakdown from the transformed dice; focused regression verifies «к6: 3, 4».</x:v>
      </x:c>
    </x:row>
    <x:row r="45" ht="48" customHeight="1">
      <x:c r="A45" s="21" t="str">
        <x:v>Fighting style</x:v>
      </x:c>
      <x:c r="B45" s="21" t="str">
        <x:v>Сражение большим оружием</x:v>
      </x:c>
      <x:c r="C45" s="21" t="str">
        <x:v>FEAT-0059</x:v>
      </x:c>
      <x:c r="D45" s="21" t="str">
        <x:v>f5e42e2a-9646-4d2f-9561-c47c4f3c1fcd</x:v>
      </x:c>
      <x:c r="E45" s="21" t="str">
        <x:v>Effect</x:v>
      </x:c>
      <x:c r="F45" s="21" t="str">
        <x:v>Боевой стиль: Сражение большим оружием</x:v>
      </x:c>
      <x:c r="G45" s="21" t="str">
        <x:v>fs_great_weapon · ab2f37cd-2f83-4701-8e0f-6efcdbe6ae07</x:v>
      </x:c>
      <x:c r="H45" s="21" t="str">
        <x:v>Когда вы совершаете бросок урона атаки Рукопашным оружием, которое вы держите двумя руками, то можете считать все выпавшие на костях урона результаты «1» и «2» как «3». Чтобы использовать это преимущество, оружие должно иметь свойство Двуручное или Универсальное. | Activation: passive | Effects: [{"resolution":"auto","result":[{"applies_to":{"filter":{"attackKind":"weapon","weaponCategory":"melee","weaponWieldedInTwoHands":true},"roll":"damage"},"kind":"modifier","op":"minimum_die","source":"Боевой стиль: Сражение большим оружием","value":3}]}]</x:v>
      </x:c>
      <x:c r="I45" s="21" t="str">
        <x:v>verified_mechanical</x:v>
      </x:c>
      <x:c r="J45" s="34" t="str">
        <x:v>Passed</x:v>
      </x:c>
      <x:c r="K45" s="21" t="str">
        <x:v>f4b8e1c5-3bf5-4d03-864a-3769d60e86d3</x:v>
      </x:c>
      <x:c r="L45" s="21" t="str">
        <x:v>Effect PASS — two-handed qualifying weapon minimum-die rule applies. The prior contradictory persisted text was fixed and regression-covered.</x:v>
      </x:c>
    </x:row>
    <x:row r="46" ht="48" customHeight="1">
      <x:c r="A46" s="21" t="str">
        <x:v>Fighting style</x:v>
      </x:c>
      <x:c r="B46" s="21" t="str">
        <x:v>Сражение вслепую</x:v>
      </x:c>
      <x:c r="C46" s="21" t="str">
        <x:v>FEAT-0060</x:v>
      </x:c>
      <x:c r="D46" s="21" t="str">
        <x:v>e1149e85-3c40-4b67-9d3d-46dc0c8b85b3</x:v>
      </x:c>
      <x:c r="E46" s="21" t="str">
        <x:v>Feat chassis</x:v>
      </x:c>
      <x:c r="F46" s="21" t="str">
        <x:v>Сражение вслепую</x:v>
      </x:c>
      <x:c r="G46" s="21" t="str">
        <x:v>e1149e85-3c40-4b67-9d3d-46dc0c8b85b3</x:v>
      </x:c>
      <x:c r="H46" s="21" t="str">
        <x:v>Вы получаете Слепое зрение в пределах 10 футов. Prerequisite: умение Боевой стиль</x:v>
      </x:c>
      <x:c r="I46" s="21" t="str">
        <x:v>verified_mechanical</x:v>
      </x:c>
      <x:c r="J46" s="34" t="str">
        <x:v>Passed</x:v>
      </x:c>
      <x:c r="K46" s="21" t="str">
        <x:v>81dbcb30-7c37-487d-a8b8-24464b7884ab</x:v>
      </x:c>
      <x:c r="L46" s="21" t="str">
        <x:v>Sheet/combat/clarity PASS — Blind Fighting grants 10-foot blindsight; target visibility inside and outside the radius follows the sense rule and the range is readable.</x:v>
      </x:c>
    </x:row>
    <x:row r="47" ht="48" customHeight="1">
      <x:c r="A47" s="21" t="str">
        <x:v>Fighting style</x:v>
      </x:c>
      <x:c r="B47" s="21" t="str">
        <x:v>Сражение вслепую</x:v>
      </x:c>
      <x:c r="C47" s="21" t="str">
        <x:v>FEAT-0060</x:v>
      </x:c>
      <x:c r="D47" s="21" t="str">
        <x:v>e1149e85-3c40-4b67-9d3d-46dc0c8b85b3</x:v>
      </x:c>
      <x:c r="E47" s="21" t="str">
        <x:v>Effect</x:v>
      </x:c>
      <x:c r="F47" s="21" t="str">
        <x:v>Боевой стиль: Сражение вслепую</x:v>
      </x:c>
      <x:c r="G47" s="21" t="str">
        <x:v>fs_blind_fighting · 927e4cb9-e1a5-4ced-81d2-7bf99c54b89a</x:v>
      </x:c>
      <x:c r="H47" s="21" t="str">
        <x:v>Вы получаете Слепое зрение в пределах 10 футов. | Activation: passive | Effects: [{"resolution":"auto","result":[{"kind":"grant_sense","range":10,"sense":"blindsight"}]}]</x:v>
      </x:c>
      <x:c r="I47" s="21" t="str">
        <x:v>verified_mechanical</x:v>
      </x:c>
      <x:c r="J47" s="34" t="str">
        <x:v>Passed</x:v>
      </x:c>
      <x:c r="K47" s="21" t="str">
        <x:v>81dbcb30-7c37-487d-a8b8-24464b7884ab</x:v>
      </x:c>
      <x:c r="L47" s="21" t="str">
        <x:v>Effect PASS — the granted 10-foot sense is present in the sheet and used by combat visibility/targeting rules.</x:v>
      </x:c>
    </x:row>
    <x:row r="48" ht="48" customHeight="1">
      <x:c r="A48" s="21" t="str">
        <x:v>Fighting style</x:v>
      </x:c>
      <x:c r="B48" s="21" t="str">
        <x:v>Сражение двумя оружиями</x:v>
      </x:c>
      <x:c r="C48" s="21" t="str">
        <x:v>FEAT-0061</x:v>
      </x:c>
      <x:c r="D48" s="21" t="str">
        <x:v>440e7209-1602-415e-a5bb-e8bf42b3f720</x:v>
      </x:c>
      <x:c r="E48" s="21" t="str">
        <x:v>Feat chassis</x:v>
      </x:c>
      <x:c r="F48" s="21" t="str">
        <x:v>Сражение двумя оружиями</x:v>
      </x:c>
      <x:c r="G48" s="21" t="str">
        <x:v>440e7209-1602-415e-a5bb-e8bf42b3f720</x:v>
      </x:c>
      <x:c r="H48" s="21" t="str">
        <x:v>Когда вы совершаете дополнительную атаку от свойства Лёгкое, вы можете добавить ваш модификатор характеристики к урону, если ещё не добавляли этот модификатор к урону этой атаки. Prerequisite: умение Боевой стиль</x:v>
      </x:c>
      <x:c r="I48" s="21" t="str">
        <x:v>verified_mechanical</x:v>
      </x:c>
      <x:c r="J48" s="34" t="str">
        <x:v>Passed</x:v>
      </x:c>
      <x:c r="K48" s="21" t="str">
        <x:v>81dbcb30-7c37-487d-a8b8-24464b7884ab</x:v>
      </x:c>
      <x:c r="L48" s="21" t="str">
        <x:v>Sheet/combat/clarity PASS — two light weapons expose the off-hand bonus action and a completed hit includes the ability modifier from Two-Weapon Fighting.</x:v>
      </x:c>
    </x:row>
    <x:row r="49" ht="48" customHeight="1">
      <x:c r="A49" s="21" t="str">
        <x:v>Fighting style</x:v>
      </x:c>
      <x:c r="B49" s="21" t="str">
        <x:v>Сражение двумя оружиями</x:v>
      </x:c>
      <x:c r="C49" s="21" t="str">
        <x:v>FEAT-0061</x:v>
      </x:c>
      <x:c r="D49" s="21" t="str">
        <x:v>440e7209-1602-415e-a5bb-e8bf42b3f720</x:v>
      </x:c>
      <x:c r="E49" s="21" t="str">
        <x:v>Effect</x:v>
      </x:c>
      <x:c r="F49" s="21" t="str">
        <x:v>Боевой стиль: Сражение двумя оружиями</x:v>
      </x:c>
      <x:c r="G49" s="21" t="str">
        <x:v>fs_two_weapon · 1ea32433-e3d0-4ab9-a8c0-cd159af6534d</x:v>
      </x:c>
      <x:c r="H49" s="21" t="str">
        <x:v>Когда вы совершаете дополнительную атаку от свойства Лёгкое, вы можете добавить ваш модификатор характеристики к урону, если ещё не добавляли этот модификатор к урону этой атаки. | Activation: passive | Effects: [{"resolution":"auto","result":[{"applies_to":{"filter":{"abilityModifierAlreadyIncluded":false,"attackKind":"weapon","extraAttackSource":"light_property"},"roll":"damage"},"kind":"modifier","op":"add","source":"Fighting Style: Two-Weapon Fighting","value":"weapon_mod"}]}]</x:v>
      </x:c>
      <x:c r="I49" s="21" t="str">
        <x:v>verified_mechanical</x:v>
      </x:c>
      <x:c r="J49" s="34" t="str">
        <x:v>Passed</x:v>
      </x:c>
      <x:c r="K49" s="21" t="str">
        <x:v>81dbcb30-7c37-487d-a8b8-24464b7884ab</x:v>
      </x:c>
      <x:c r="L49" s="21" t="str">
        <x:v>Combat PASS — the off-hand damage modifier is applied only for the fighting style and is itemized in the damage breakdown.</x:v>
      </x:c>
    </x:row>
    <x:row r="50" ht="48" customHeight="1">
      <x:c r="A50" s="21" t="str">
        <x:v>Fighting style</x:v>
      </x:c>
      <x:c r="B50" s="21" t="str">
        <x:v>Сражение метательным оружием</x:v>
      </x:c>
      <x:c r="C50" s="21" t="str">
        <x:v>FEAT-0062</x:v>
      </x:c>
      <x:c r="D50" s="21" t="str">
        <x:v>5f56912d-8f52-42b0-89e3-8ced07703d40</x:v>
      </x:c>
      <x:c r="E50" s="21" t="str">
        <x:v>Feat chassis</x:v>
      </x:c>
      <x:c r="F50" s="21" t="str">
        <x:v>Сражение метательным оружием</x:v>
      </x:c>
      <x:c r="G50" s="21" t="str">
        <x:v>5f56912d-8f52-42b0-89e3-8ced07703d40</x:v>
      </x:c>
      <x:c r="H50" s="21" t="str">
        <x:v>Когда вы попадаете дальнобойной атакой оружием со свойством Метательное, вы получаете бонус +2 к броску урона. Prerequisite: умение Боевой стиль</x:v>
      </x:c>
      <x:c r="I50" s="21" t="str">
        <x:v>verified_mechanical</x:v>
      </x:c>
      <x:c r="J50" s="34" t="str">
        <x:v>Passed</x:v>
      </x:c>
      <x:c r="K50" s="21" t="str">
        <x:v>81dbcb30-7c37-487d-a8b8-24464b7884ab</x:v>
      </x:c>
      <x:c r="L50" s="21" t="str">
        <x:v>Sheet/combat/clarity PASS — a qualifying thrown-weapon hit applies +2 damage and identifies Thrown Weapon Fighting in the journal.</x:v>
      </x:c>
    </x:row>
    <x:row r="51" ht="48" customHeight="1">
      <x:c r="A51" s="21" t="str">
        <x:v>Fighting style</x:v>
      </x:c>
      <x:c r="B51" s="21" t="str">
        <x:v>Сражение метательным оружием</x:v>
      </x:c>
      <x:c r="C51" s="21" t="str">
        <x:v>FEAT-0062</x:v>
      </x:c>
      <x:c r="D51" s="21" t="str">
        <x:v>5f56912d-8f52-42b0-89e3-8ced07703d40</x:v>
      </x:c>
      <x:c r="E51" s="21" t="str">
        <x:v>Effect</x:v>
      </x:c>
      <x:c r="F51" s="21" t="str">
        <x:v>Боевой стиль: Сражение метательным оружием</x:v>
      </x:c>
      <x:c r="G51" s="21" t="str">
        <x:v>fs_thrown_weapon · 866e5e5f-e982-4897-8d8a-8e3c8b28d088</x:v>
      </x:c>
      <x:c r="H51" s="21" t="str">
        <x:v>Когда вы попадаете дальнобойной атакой оружием со свойством Метательное, вы получаете бонус +2 к броску урона. | Activation: passive | Effects: [{"resolution":"auto","result":[{"applies_to":{"filter":{"attackKind":"weapon","weaponCategory":"ranged","weaponDamageLine":"base","weaponHasThrownProperty":true},"roll":"damage"},"kind":"modifier","op":"add","source":"Боевой стиль: Сражение метательным оружием","value":"+2"}]}]</x:v>
      </x:c>
      <x:c r="I51" s="21" t="str">
        <x:v>verified_mechanical</x:v>
      </x:c>
      <x:c r="J51" s="34" t="str">
        <x:v>Passed</x:v>
      </x:c>
      <x:c r="K51" s="21" t="str">
        <x:v>81dbcb30-7c37-487d-a8b8-24464b7884ab</x:v>
      </x:c>
      <x:c r="L51" s="21" t="str">
        <x:v>Combat PASS — qualifying thrown damage receives the style modifier; non-qualifying damage is unchanged by focused regression coverage.</x:v>
      </x:c>
    </x:row>
    <x:row r="52" ht="48" customHeight="1">
      <x:c r="A52" s="21" t="str">
        <x:v>Fighting style</x:v>
      </x:c>
      <x:c r="B52" s="21" t="str">
        <x:v>Стрельба</x:v>
      </x:c>
      <x:c r="C52" s="21" t="str">
        <x:v>FEAT-0063</x:v>
      </x:c>
      <x:c r="D52" s="21" t="str">
        <x:v>bca8edf6-27ce-4399-8e34-bdadd59674b3</x:v>
      </x:c>
      <x:c r="E52" s="21" t="str">
        <x:v>Feat chassis</x:v>
      </x:c>
      <x:c r="F52" s="21" t="str">
        <x:v>Стрельба</x:v>
      </x:c>
      <x:c r="G52" s="21" t="str">
        <x:v>bca8edf6-27ce-4399-8e34-bdadd59674b3</x:v>
      </x:c>
      <x:c r="H52" s="21" t="str">
        <x:v>Вы получаете бонус +2 к броскам атаки Дальнобойным оружием. Prerequisite: умение Боевой стиль</x:v>
      </x:c>
      <x:c r="I52" s="21" t="str">
        <x:v>verified_mechanical</x:v>
      </x:c>
      <x:c r="J52" s="34" t="str">
        <x:v>Passed</x:v>
      </x:c>
      <x:c r="K52" s="21" t="str">
        <x:v>2d43a5c2-2f5a-4d8c-8bb2-e45f46900659</x:v>
      </x:c>
      <x:c r="L52" s="21" t="str">
        <x:v>Sheet/combat/clarity PASS — live longbow attack showed 10 +2 DEX +2 PB +2 Fighting Style: Archery =16 vs AC12, then dealt 7.</x:v>
      </x:c>
    </x:row>
    <x:row r="53" ht="48" customHeight="1">
      <x:c r="A53" s="21" t="str">
        <x:v>Fighting style</x:v>
      </x:c>
      <x:c r="B53" s="21" t="str">
        <x:v>Стрельба</x:v>
      </x:c>
      <x:c r="C53" s="21" t="str">
        <x:v>FEAT-0063</x:v>
      </x:c>
      <x:c r="D53" s="21" t="str">
        <x:v>bca8edf6-27ce-4399-8e34-bdadd59674b3</x:v>
      </x:c>
      <x:c r="E53" s="21" t="str">
        <x:v>Effect</x:v>
      </x:c>
      <x:c r="F53" s="21" t="str">
        <x:v>Боевой стиль: Стрельба</x:v>
      </x:c>
      <x:c r="G53" s="21" t="str">
        <x:v>fs_archery · 76acce68-ebbe-4cef-ba2c-3ca4042c3656</x:v>
      </x:c>
      <x:c r="H53" s="21" t="str">
        <x:v>Вы получаете бонус +2 к броскам атаки Дальнобойным оружием. | Activation: passive | Effects: [{"resolution":"auto","result":[{"applies_to":{"filter":{"attackKind":"weapon","weaponCategory":"ranged"},"roll":"attack"},"kind":"modifier","op":"add","source":"Fighting Style: Archery","value":"+2"}]}]</x:v>
      </x:c>
      <x:c r="I53" s="21" t="str">
        <x:v>verified_mechanical</x:v>
      </x:c>
      <x:c r="J53" s="34" t="str">
        <x:v>Passed</x:v>
      </x:c>
      <x:c r="K53" s="21" t="str">
        <x:v>2d43a5c2-2f5a-4d8c-8bb2-e45f46900659</x:v>
      </x:c>
      <x:c r="L53" s="21" t="str">
        <x:v>Effect PASS — +2 ranged-weapon attack modifier is itemized in the journal; source label is still English.</x:v>
      </x:c>
    </x:row>
  </x:sheetData>
  <x:mergeCells>
    <x:mergeCell ref="A1:L1"/>
    <x:mergeCell ref="A2:L2"/>
  </x:mergeCells>
  <x:conditionalFormatting sqref="J6:J53">
    <x:cfRule type="containsText" dxfId="18" priority="1" operator="containsText" text="Passed"/>
    <x:cfRule type="containsText" dxfId="19" priority="2" operator="containsText" text="Failed"/>
    <x:cfRule type="containsText" dxfId="20" priority="3" operator="containsText" text="Blocked"/>
    <x:cfRule type="containsText" dxfId="21" priority="4" operator="containsText" text="Needs retest"/>
    <x:cfRule type="containsText" dxfId="22" priority="5" operator="containsText" text="Out of L1 scope"/>
    <x:cfRule type="containsText" dxfId="23" priority="6" operator="containsText" text="Not tested"/>
  </x:conditionalFormatting>
  <x:dataValidations count="1">
    <x:dataValidation type="list" sqref="J6:J53">
      <x:formula1>"Not tested,Passed,Failed,Blocked,Needs retest,Out of L1 scope"</x:formula1>
    </x:dataValidation>
  </x:dataValidations>
  <x:pageMargins left="0.7" right="0.7" top="0.75" bottom="0.75" header="0.3" footer="0.3"/>
  <x:legacyDrawing xmlns:r="http://schemas.openxmlformats.org/officeDocument/2006/relationships" r:id="R253680e494d849ff"/>
  <x:tableParts count="1">
    <x:tablePart xmlns:r="http://schemas.openxmlformats.org/officeDocument/2006/relationships" r:id="Ref40fcf90ac84a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30" hidden="0" customWidth="1"/>
    <x:col min="3" max="3" width="20" hidden="0" customWidth="1"/>
    <x:col min="4" max="4" width="37" hidden="0" customWidth="1"/>
    <x:col min="5" max="5" width="18" hidden="0" customWidth="1"/>
    <x:col min="6" max="6" width="28" hidden="0" customWidth="1"/>
    <x:col min="7" max="7" width="72" hidden="0" customWidth="1"/>
    <x:col min="8" max="8" width="19" hidden="0" customWidth="1"/>
    <x:col min="9" max="9" width="17" hidden="0" customWidth="1"/>
    <x:col min="10" max="10" width="38" hidden="0" customWidth="1"/>
    <x:col min="11" max="11" width="46" hidden="0" customWidth="1"/>
  </x:cols>
  <x:sheetData>
    <x:row r="1" ht="30" customHeight="1">
      <x:c r="A1" s="4" t="str">
        <x:v>Mini-MVP base mechanics — browser testing checklist</x:v>
      </x:c>
      <x:c r="B1" s="4"/>
      <x:c r="C1" s="4"/>
      <x:c r="D1" s="4"/>
      <x:c r="E1" s="4"/>
      <x:c r="F1" s="4"/>
      <x:c r="G1" s="4"/>
      <x:c r="H1" s="4"/>
      <x:c r="I1" s="4"/>
      <x:c r="J1" s="4"/>
      <x:c r="K1" s="4"/>
    </x:row>
    <x:row r="2" ht="34" customHeight="1">
      <x:c r="A2" s="8" t="str">
        <x:v>Core combat flows plus every catalog base action and condition effect used as shared mechanics. · Production snapshot 2026-08-30T08:27:24.126Z</x:v>
      </x:c>
      <x:c r="B2" s="8"/>
      <x:c r="C2" s="8"/>
      <x:c r="D2" s="8"/>
      <x:c r="E2" s="8"/>
      <x:c r="F2" s="8"/>
      <x:c r="G2" s="8"/>
      <x:c r="H2" s="8"/>
      <x:c r="I2" s="8"/>
      <x:c r="J2" s="8"/>
      <x:c r="K2" s="8"/>
    </x:row>
    <x:row r="3">
      <x:c r="A3" s="11" t="str">
        <x:v>Rows</x:v>
      </x:c>
      <x:c r="B3" s="11" t="n">
        <x:v>44</x:v>
      </x:c>
      <x:c r="C3" s="11" t="str">
        <x:v>Passed</x:v>
      </x:c>
      <x:c r="D3" s="11" t="n">
        <x:v>44</x:v>
      </x:c>
      <x:c r="E3" s="11" t="str">
        <x:v>Failed</x:v>
      </x:c>
      <x:c r="F3" s="11" t="n">
        <x:v>0</x:v>
      </x:c>
      <x:c r="G3" s="11" t="str">
        <x:v>Needs retest</x:v>
      </x:c>
      <x:c r="H3" s="11" t="n">
        <x:v>0</x:v>
      </x:c>
      <x:c r="I3" s="11" t="str">
        <x:v>Not tested</x:v>
      </x:c>
      <x:c r="J3" s="11" t="n">
        <x:v>0</x:v>
      </x:c>
      <x:c r="K3" t="str">
        <x:v>Blocked 0</x:v>
      </x:c>
    </x:row>
    <x:row r="5" ht="34" customHeight="1">
      <x:c r="A5" s="17" t="str">
        <x:v>Category</x:v>
      </x:c>
      <x:c r="B5" s="17" t="str">
        <x:v>Mechanic / entity</x:v>
      </x:c>
      <x:c r="C5" s="17" t="str">
        <x:v>Card / check ID</x:v>
      </x:c>
      <x:c r="D5" s="17" t="str">
        <x:v>Entity ID</x:v>
      </x:c>
      <x:c r="E5" s="17" t="str">
        <x:v>Item type</x:v>
      </x:c>
      <x:c r="F5" s="17" t="str">
        <x:v>Activation / resource</x:v>
      </x:c>
      <x:c r="G5" s="17" t="str">
        <x:v>Expected behavior / effects</x:v>
      </x:c>
      <x:c r="H5" s="17" t="str">
        <x:v>Catalog support</x:v>
      </x:c>
      <x:c r="I5" s="17" t="str">
        <x:v>Manual status</x:v>
      </x:c>
      <x:c r="J5" s="17" t="str">
        <x:v>Character ID(s)</x:v>
      </x:c>
      <x:c r="K5" s="17" t="str">
        <x:v>Test notes</x:v>
      </x:c>
    </x:row>
    <x:row r="6" ht="48" customHeight="1">
      <x:c r="A6" s="21" t="str">
        <x:v>Action economy</x:v>
      </x:c>
      <x:c r="B6" s="21" t="str">
        <x:v>Bonus action</x:v>
      </x:c>
      <x:c r="C6" s="21" t="str">
        <x:v>CHECK-03</x:v>
      </x:c>
      <x:c r="D6" s="21" t="str"/>
      <x:c r="E6" s="21" t="str">
        <x:v>Checklist mechanic</x:v>
      </x:c>
      <x:c r="F6" s="21" t="str">
        <x:v>Varies</x:v>
      </x:c>
      <x:c r="G6" s="21" t="str">
        <x:v>Bonus-action choices consume only the bonus-action resource.</x:v>
      </x:c>
      <x:c r="H6" s="21" t="str">
        <x:v>manual-checklist</x:v>
      </x:c>
      <x:c r="I6" s="34" t="str">
        <x:v>Passed</x:v>
      </x:c>
      <x:c r="J6" s="21" t="str">
        <x:v>81dbcb30-7c37-487d-a8b8-24464b7884ab</x:v>
      </x:c>
      <x:c r="K6" s="21" t="str">
        <x:v>Bonus Action PASS — the resource is visible, qualifying actions consume it once per turn, and refresh restores it.</x:v>
      </x:c>
    </x:row>
    <x:row r="7" ht="48" customHeight="1">
      <x:c r="A7" s="21" t="str">
        <x:v>Action economy</x:v>
      </x:c>
      <x:c r="B7" s="21" t="str">
        <x:v>Main action</x:v>
      </x:c>
      <x:c r="C7" s="21" t="str">
        <x:v>CHECK-02</x:v>
      </x:c>
      <x:c r="D7" s="21" t="str"/>
      <x:c r="E7" s="21" t="str">
        <x:v>Checklist mechanic</x:v>
      </x:c>
      <x:c r="F7" s="21" t="str">
        <x:v>Varies</x:v>
      </x:c>
      <x:c r="G7" s="21" t="str">
        <x:v>Spending the action resource removes main-action choices until refreshed or the next turn.</x:v>
      </x:c>
      <x:c r="H7" s="21" t="str">
        <x:v>manual-checklist</x:v>
      </x:c>
      <x:c r="I7" s="34" t="str">
        <x:v>Passed</x:v>
      </x:c>
      <x:c r="J7" s="21" t="str">
        <x:v>81dbcb30-7c37-487d-a8b8-24464b7884ab</x:v>
      </x:c>
      <x:c r="K7" s="21" t="str">
        <x:v>Main Action PASS — the resource filters and enables qualifying actions, consumption is clear, and turn refresh restores it.</x:v>
      </x:c>
    </x:row>
    <x:row r="8" ht="48" customHeight="1">
      <x:c r="A8" s="21" t="str">
        <x:v>Action economy</x:v>
      </x:c>
      <x:c r="B8" s="21" t="str">
        <x:v>Reaction and trigger</x:v>
      </x:c>
      <x:c r="C8" s="21" t="str">
        <x:v>CHECK-04</x:v>
      </x:c>
      <x:c r="D8" s="21" t="str"/>
      <x:c r="E8" s="21" t="str">
        <x:v>Checklist mechanic</x:v>
      </x:c>
      <x:c r="F8" s="21" t="str">
        <x:v>Varies</x:v>
      </x:c>
      <x:c r="G8" s="21" t="str">
        <x:v>A reaction is offered only for a matching trigger and consumes the reaction resource.</x:v>
      </x:c>
      <x:c r="H8" s="21" t="str">
        <x:v>manual-checklist</x:v>
      </x:c>
      <x:c r="I8" s="34" t="str">
        <x:v>Passed</x:v>
      </x:c>
      <x:c r="J8" s="21" t="str">
        <x:v>9c20d86b-8c88-42be-8839-e3e3ad00853f</x:v>
      </x:c>
      <x:c r="K8" s="21" t="str">
        <x:v>Reaction PASS — Protection/Interception live scenarios consumed the reaction once and the next-turn refresh restored it.</x:v>
      </x:c>
    </x:row>
    <x:row r="9" ht="48" customHeight="1">
      <x:c r="A9" s="21" t="str">
        <x:v>Catalog action</x:v>
      </x:c>
      <x:c r="B9" s="21" t="str">
        <x:v>Атака второй рукой</x:v>
      </x:c>
      <x:c r="C9" s="21" t="str">
        <x:v>action_basic_offhand</x:v>
      </x:c>
      <x:c r="D9" s="21" t="str">
        <x:v>6812f780-de8a-4509-9253-b4be711a9212</x:v>
      </x:c>
      <x:c r="E9" s="21" t="str">
        <x:v>Action</x:v>
      </x:c>
      <x:c r="F9" s="21" t="str">
        <x:v>["bonus_action"]</x:v>
      </x:c>
      <x:c r="G9" s="21" t="str">
        <x:v>Бой двумя оружиями: бонусным действием атаковать вторым лёгким оружием в другой руке. Без модификатора характеристики к урону (если нет соответствующей черты). | Activation: active; cost bonus_action | Targeting: {"actor_targets":true,"allowed_relations":["ally","enemy","neutral"],"domain":"actor","max_targets":1,"min_targets":1,"range_ft":600,"requires_line_of_sight":true,"shape":"single"} | Effects: [{"ability":"auto","attack_kind":"weapon_melee","on_hit":[{"ability":"none","dice":"weapon","kind":"damage","type":"weapon"}],"resolution":"attack_roll","tags":["off_hand","two_weapon"],"vs":"ac"}]</x:v>
      </x:c>
      <x:c r="H9" s="21" t="str">
        <x:v>verified_mechanical</x:v>
      </x:c>
      <x:c r="I9" s="34" t="str">
        <x:v>Passed</x:v>
      </x:c>
      <x:c r="J9" s="21" t="str">
        <x:v>81dbcb30-7c37-487d-a8b8-24464b7884ab</x:v>
      </x:c>
      <x:c r="K9" s="21" t="str">
        <x:v>Off-hand Attack PASS — the canonical action appears only with qualifying weapons, consumes a bonus action, resolves the attack, and explains damage.</x:v>
      </x:c>
    </x:row>
    <x:row r="10" ht="48" customHeight="1">
      <x:c r="A10" s="21" t="str">
        <x:v>Catalog action</x:v>
      </x:c>
      <x:c r="B10" s="21" t="str">
        <x:v>Атака второй рукой</x:v>
      </x:c>
      <x:c r="C10" s="21" t="str">
        <x:v>action_offhand_attack</x:v>
      </x:c>
      <x:c r="D10" s="21" t="str">
        <x:v>3e2f9cbd-befc-4520-88a5-9303c1494705</x:v>
      </x:c>
      <x:c r="E10" s="21" t="str">
        <x:v>Action</x:v>
      </x:c>
      <x:c r="F10" s="21" t="str">
        <x:v>["bonus_action"]</x:v>
      </x:c>
      <x:c r="G10" s="21" t="str">
        <x:v>Если во второй руке есть оружие. Бонусным действием совершаете атаку оружием во второй руке. При попадании наносите урон костью урона оружия без добавления модификатора характеристики. | Activation: active; cost bonus_action | Targeting: {"filter":"enemy","range":"weapon","shape":"single"} | Effects: [{"ability":"auto","attack_kind":"weapon_melee","on_hit":[{"ability":"none","dice":"weapon","kind":"damage","type":"weapon"}],"resolution":"attack_roll","tags":["off_hand","two_weapon"],"vs":"ac"}]</x:v>
      </x:c>
      <x:c r="H10" s="21" t="str">
        <x:v>uncertified</x:v>
      </x:c>
      <x:c r="I10" s="34" t="str">
        <x:v>Passed</x:v>
      </x:c>
      <x:c r="J10" s="21" t="str">
        <x:v>81dbcb30-7c37-487d-a8b8-24464b7884ab</x:v>
      </x:c>
      <x:c r="K10" s="21" t="str">
        <x:v>Compatibility alias PASS — the legacy entity remains supported but is hidden from the player; the canonical visible action passed sheet, combat, and clarity with no duplicate button.</x:v>
      </x:c>
    </x:row>
    <x:row r="11" ht="48" customHeight="1">
      <x:c r="A11" s="21" t="str">
        <x:v>Catalog action</x:v>
      </x:c>
      <x:c r="B11" s="21" t="str">
        <x:v>Атака оружием</x:v>
      </x:c>
      <x:c r="C11" s="21" t="str">
        <x:v>action_melee_attack</x:v>
      </x:c>
      <x:c r="D11" s="21" t="str">
        <x:v>b3e52ecd-8b82-41e3-a8a2-1badec4c72de</x:v>
      </x:c>
      <x:c r="E11" s="21" t="str">
        <x:v>Action</x:v>
      </x:c>
      <x:c r="F11" s="21" t="str">
        <x:v>["main_action"]</x:v>
      </x:c>
      <x:c r="G11" s="21" t="str">
        <x:v>Если в руке есть оружие. Совершаете атаку удерживаемым оружием. При попадании наносите урон костью урона оружия плюс модификатор характеристики; к этому урону могут применяться дополнительные модификаторы. | Activation: active; cost action | Targeting: {"filter":"enemy","range":"weapon","shape":"single"} | Effects: [{"ability":"auto","attack_kind":"weapon_melee","on_hit":[{"ability":"auto","dice":"weapon","kind":"damage","type":"weapon"}],"resolution":"attack_roll","vs":"ac"}]</x:v>
      </x:c>
      <x:c r="H11" s="21" t="str">
        <x:v>uncertified</x:v>
      </x:c>
      <x:c r="I11" s="34" t="str">
        <x:v>Passed</x:v>
      </x:c>
      <x:c r="J11" s="21" t="str">
        <x:v>81dbcb30-7c37-487d-a8b8-24464b7884ab</x:v>
      </x:c>
      <x:c r="K11" s="21" t="str">
        <x:v>Compatibility alias PASS — the legacy entity remains supported but is hidden from the player; the canonical visible action passed sheet, combat, and clarity with no duplicate button.</x:v>
      </x:c>
    </x:row>
    <x:row r="12" ht="48" customHeight="1">
      <x:c r="A12" s="21" t="str">
        <x:v>Catalog action</x:v>
      </x:c>
      <x:c r="B12" s="21" t="str">
        <x:v>Безоружная атака</x:v>
      </x:c>
      <x:c r="C12" s="21" t="str">
        <x:v>action_unarmed_strike</x:v>
      </x:c>
      <x:c r="D12" s="21" t="str">
        <x:v>4720c0d0-6610-40e2-812b-4aa0a1bb8449</x:v>
      </x:c>
      <x:c r="E12" s="21" t="str">
        <x:v>Action</x:v>
      </x:c>
      <x:c r="F12" s="21" t="str">
        <x:v>["main_action"]</x:v>
      </x:c>
      <x:c r="G12" s="21" t="str">
        <x:v>Если в руках нет оружия. Совершаете рукопашную атаку без оружия. При попадании наносите дробящий урон, равный 1 + модификатор Силы. | Activation: active; cost action | Targeting: {"filter":"enemy","range":"5 feet","shape":"single"} | Effects: [{"ability":"str","attack_kind":"unarmed","on_hit":[{"amount":"1 + str","kind":"damage","type":"bludgeoning"}],"resolution":"attack_roll","vs":"ac"}]</x:v>
      </x:c>
      <x:c r="H12" s="21" t="str">
        <x:v>uncertified</x:v>
      </x:c>
      <x:c r="I12" s="34" t="str">
        <x:v>Passed</x:v>
      </x:c>
      <x:c r="J12" s="21" t="str">
        <x:v>81dbcb30-7c37-487d-a8b8-24464b7884ab</x:v>
      </x:c>
      <x:c r="K12" s="21" t="str">
        <x:v>Compatibility alias PASS — the legacy entity remains supported but is hidden from the player; the canonical visible action passed sheet, combat, and clarity with no duplicate button.</x:v>
      </x:c>
    </x:row>
    <x:row r="13" ht="48" customHeight="1">
      <x:c r="A13" s="21" t="str">
        <x:v>Catalog action</x:v>
      </x:c>
      <x:c r="B13" s="21" t="str">
        <x:v>Безоружный удар</x:v>
      </x:c>
      <x:c r="C13" s="21" t="str">
        <x:v>action_basic_unarmed</x:v>
      </x:c>
      <x:c r="D13" s="21" t="str">
        <x:v>442ba733-5af0-4680-a411-05e15adc8a4d</x:v>
      </x:c>
      <x:c r="E13" s="21" t="str">
        <x:v>Action</x:v>
      </x:c>
      <x:c r="F13" s="21" t="str">
        <x:v>["action"]</x:v>
      </x:c>
      <x:c r="G13" s="21" t="str">
        <x:v>Атака кулаком, ногой, головой и т.п. Урон: 1 + модификатор Силы (дробящий); альтернативно можно Схватить или Толкнуть цель. | Activation: active; cost action | Targeting: {"actor_targets":true,"allowed_relations":["enemy"],"domain":"actor","max_targets":1,"min_targets":1,"range_ft":5,"requires_line_of_sight":true,"shape":"single"} | Effects: [{"ability":"str","attack_kind":"unarmed","on_hit":[{"amount":"1 + str","kind":"damage","type":"bludgeoning"}],"resolution":"attack_roll","vs":"ac"}]</x:v>
      </x:c>
      <x:c r="H13" s="21" t="str">
        <x:v>verified_mechanical</x:v>
      </x:c>
      <x:c r="I13" s="34" t="str">
        <x:v>Passed</x:v>
      </x:c>
      <x:c r="J13" s="21" t="str">
        <x:v>81dbcb30-7c37-487d-a8b8-24464b7884ab</x:v>
      </x:c>
      <x:c r="K13" s="21" t="str">
        <x:v>Unarmed Strike PASS — visible on sheet and hotbar, executable against a selected target, with attack and damage results in the journal.</x:v>
      </x:c>
    </x:row>
    <x:row r="14" ht="48" customHeight="1">
      <x:c r="A14" s="21" t="str">
        <x:v>Catalog action</x:v>
      </x:c>
      <x:c r="B14" s="21" t="str">
        <x:v>Божественное вдохновение</x:v>
      </x:c>
      <x:c r="C14" s="21" t="str">
        <x:v>ACTION-0005</x:v>
      </x:c>
      <x:c r="D14" s="21" t="str">
        <x:v>d87af918-00b4-4b97-b52e-6cdc3e83d41b</x:v>
      </x:c>
      <x:c r="E14" s="21" t="str">
        <x:v>Action</x:v>
      </x:c>
      <x:c r="F14" s="21" t="str">
        <x:v>["bardic_inspiration"]</x:v>
      </x:c>
      <x:c r="G14" s="21" t="str">
        <x:v>Раз в день вы можете использовать свою божественную природу и выдать особое вдохновение другому существу. В следующий раз, когда существо должно совершить проверку характеристики, бросок атаки или спасбросок, считается что в результате получилось 20 *(после всех модификаторов)*. Бонус одноразовый и действует только на один следующий бросок к20, от него нельзя отказаться или отложить.</x:v>
      </x:c>
      <x:c r="H14" s="21" t="str">
        <x:v>verified_mechanical</x:v>
      </x:c>
      <x:c r="I14" s="34" t="str">
        <x:v>Passed</x:v>
      </x:c>
      <x:c r="J14" s="21" t="str">
        <x:v>81dbcb30-7c37-487d-a8b8-24464b7884ab; 303cc394-3641-4b70-bcad-ce8843ab5808</x:v>
      </x:c>
      <x:c r="K14" s="21" t="str">
        <x:v>Divine Inspiration PASS — the action attaches without a certification dialog, applies +9 to the ally’s next d20 (11+9=20), then is removed and journaled.</x:v>
      </x:c>
    </x:row>
    <x:row r="15" ht="48" customHeight="1">
      <x:c r="A15" s="21" t="str">
        <x:v>Catalog action</x:v>
      </x:c>
      <x:c r="B15" s="21" t="str">
        <x:v>Дальнобойная атака оружием</x:v>
      </x:c>
      <x:c r="C15" s="21" t="str">
        <x:v>action_basic_weapon_ranged</x:v>
      </x:c>
      <x:c r="D15" s="21" t="str">
        <x:v>10800000-0000-4000-8000-000000000001</x:v>
      </x:c>
      <x:c r="E15" s="21" t="str">
        <x:v>Action</x:v>
      </x:c>
      <x:c r="F15" s="21" t="str">
        <x:v>["action"]</x:v>
      </x:c>
      <x:c r="G15" s="21" t="str">
        <x:v>Атака надетым оружием в дальнобойном режиме. Боеприпас расходуется только если он объявлен профилем оружия. | Activation: active; cost action, 1× equipped_weapon_ammo | Targeting: {"actor_targets":true,"allowed_relations":["ally","enemy","neutral"],"domain":"actor","max_targets":1,"min_targets":1,"range_ft":600,"requires_line_of_sight":true,"shape":"single"} | Effects: [{"ability":"auto","attack_kind":"weapon_ranged","on_hit":[{"ability":"auto","dice":"weapon","kind":"damage","type":"weapon"}],"resolution":"attack_roll","vs":"ac"}]</x:v>
      </x:c>
      <x:c r="H15" s="21" t="str">
        <x:v>verified_mechanical</x:v>
      </x:c>
      <x:c r="I15" s="34" t="str">
        <x:v>Passed</x:v>
      </x:c>
      <x:c r="J15" s="21" t="str">
        <x:v>2d43a5c2-2f5a-4d8c-8bb2-e45f46900659</x:v>
      </x:c>
      <x:c r="K15" s="21" t="str">
        <x:v>Ranged Weapon Attack PASS — target/range validation, attack vs AC, damage, and complete roll sources are visible.</x:v>
      </x:c>
    </x:row>
    <x:row r="16" ht="48" customHeight="1">
      <x:c r="A16" s="21" t="str">
        <x:v>Catalog action</x:v>
      </x:c>
      <x:c r="B16" s="21" t="str">
        <x:v>Кинжал</x:v>
      </x:c>
      <x:c r="C16" s="21" t="str">
        <x:v>MONSTER-ACTION-GOBLIN-DAGGER</x:v>
      </x:c>
      <x:c r="D16" s="21" t="str">
        <x:v>b1000000-0000-4000-8000-000000000002</x:v>
      </x:c>
      <x:c r="E16" s="21" t="str">
        <x:v>Action</x:v>
      </x:c>
      <x:c r="F16" s="21" t="str">
        <x:v>["action"]</x:v>
      </x:c>
      <x:c r="G16" s="21" t="str">
        <x:v>Рукопашная атака гоблина-прислужника. | Activation: active; cost 1× action | Targeting: {"actor_targets":true,"allowed_relations":["enemy"],"domain":"actor","max_targets":1,"min_targets":1,"range_ft":5,"requires_line_of_sight":true,"shape":"single"} | Effects: [{"ability":"dex","attack_kind":"weapon_melee","on_hit":[{"ability":"dex","dice":"1d4","kind":"damage","type":"piercing"}],"resolution":"attack_roll","vs":"ac"}]</x:v>
      </x:c>
      <x:c r="H16" s="21" t="str">
        <x:v>uncertified</x:v>
      </x:c>
      <x:c r="I16" s="34" t="str">
        <x:v>Passed</x:v>
      </x:c>
      <x:c r="J16" s="21" t="str">
        <x:v>81dbcb30-7c37-487d-a8b8-24464b7884ab</x:v>
      </x:c>
      <x:c r="K16" s="21" t="str">
        <x:v>Dagger Attack PASS — melee/thrown paths, attack roll, damage, and inventory/equipment context are readable.</x:v>
      </x:c>
    </x:row>
    <x:row r="17" ht="48" customHeight="1">
      <x:c r="A17" s="21" t="str">
        <x:v>Catalog action</x:v>
      </x:c>
      <x:c r="B17" s="21" t="str">
        <x:v>Отход</x:v>
      </x:c>
      <x:c r="C17" s="21" t="str">
        <x:v>action_basic_disengage</x:v>
      </x:c>
      <x:c r="D17" s="21" t="str">
        <x:v>a62f30c3-bf2b-419d-b823-e9e819683e07</x:v>
      </x:c>
      <x:c r="E17" s="21" t="str">
        <x:v>Action</x:v>
      </x:c>
      <x:c r="F17" s="21" t="str">
        <x:v>["action"]</x:v>
      </x:c>
      <x:c r="G17" s="21" t="str">
        <x:v>До начала вашего следующего хода ваше перемещение не провоцирует атаки. | Activation: active; cost action | Targeting: {"actor_targets":false,"allowed_relations":["self"],"domain":"actor","max_targets":1,"min_targets":0,"range_ft":0,"requires_line_of_sight":false,"shape":"self"} | Effects: [{"resolution":"auto","result":[{"applies_to":{"interaction":"opportunity_attack","trigger":"self_movement"},"duration":{"type":"until_start_of_next_turn"},"kind":"modifier","op":"deny","stack_id":"basic-action:disengage"}]}]</x:v>
      </x:c>
      <x:c r="H17" s="21" t="str">
        <x:v>verified_mechanical</x:v>
      </x:c>
      <x:c r="I17" s="34" t="str">
        <x:v>Passed</x:v>
      </x:c>
      <x:c r="J17" s="21" t="str">
        <x:v>81dbcb30-7c37-487d-a8b8-24464b7884ab</x:v>
      </x:c>
      <x:c r="K17" s="21" t="str">
        <x:v>Disengage PASS — consumes the main action, applies the turn effect, and displays its duration and purpose.</x:v>
      </x:c>
    </x:row>
    <x:row r="18" ht="48" customHeight="1">
      <x:c r="A18" s="21" t="str">
        <x:v>Catalog action</x:v>
      </x:c>
      <x:c r="B18" s="21" t="str">
        <x:v>Помощь</x:v>
      </x:c>
      <x:c r="C18" s="21" t="str">
        <x:v>action_help</x:v>
      </x:c>
      <x:c r="D18" s="21" t="str">
        <x:v>2863e54d-0d7e-4d2c-8291-0f222a7ce662</x:v>
      </x:c>
      <x:c r="E18" s="21" t="str">
        <x:v>Action</x:v>
      </x:c>
      <x:c r="F18" s="21" t="str">
        <x:v>["main_action"]</x:v>
      </x:c>
      <x:c r="G18" s="21" t="str">
        <x:v>Помогаете союзнику: он получает преимущество на свой следующий бросок к20 (проверку характеристики или атаку) до начала вашего следующего хода. Либо стабилизируете умирающее существо (проверка Медицины УС 10). | Activation: active; cost action | Targeting: {"actor_targets":true,"allowed_relations":["ally"],"domain":"actor","max_targets":1,"min_targets":1,"range_ft":5,"requires_line_of_sight":true,"shape":"single"} | Effects: [{"resolution":"auto","result":[{"applies_to":["ability_check","attack_roll"],"count":1,"description":"Цель получает преимущество на следующий бросок к20.","expires":"start_of_your_next_turn","grants":"advantage","id":"help","kind":"boon"},{"description":"Альтернатива: стабилизировать умирающее существо (проверка Медицины УС 10).","kind":"narrative"}]}]</x:v>
      </x:c>
      <x:c r="H18" s="21" t="str">
        <x:v>verified_mechanical</x:v>
      </x:c>
      <x:c r="I18" s="34" t="str">
        <x:v>Passed</x:v>
      </x:c>
      <x:c r="J18" s="21" t="str">
        <x:v>81dbcb30-7c37-487d-a8b8-24464b7884ab; 303cc394-3641-4b70-bcad-ce8843ab5808</x:v>
      </x:c>
      <x:c r="K18" s="21" t="str">
        <x:v>Help PASS — target selection, advantage on the next eligible check/attack, one-use consumption, and source clarity are verified.</x:v>
      </x:c>
    </x:row>
    <x:row r="19" ht="48" customHeight="1">
      <x:c r="A19" s="21" t="str">
        <x:v>Catalog action</x:v>
      </x:c>
      <x:c r="B19" s="21" t="str">
        <x:v>Рукопашная атака оружием</x:v>
      </x:c>
      <x:c r="C19" s="21" t="str">
        <x:v>action_basic_weapon</x:v>
      </x:c>
      <x:c r="D19" s="21" t="str">
        <x:v>ae7b59a2-2eee-412f-aee6-6323b4c1fb4d</x:v>
      </x:c>
      <x:c r="E19" s="21" t="str">
        <x:v>Action</x:v>
      </x:c>
      <x:c r="F19" s="21" t="str">
        <x:v>["action"]</x:v>
      </x:c>
      <x:c r="G19" s="21" t="str">
        <x:v>Атака надетым оружием в рукопашном режиме. Боеприпасы не требуются и не расходуются. | Activation: active; cost action | Targeting: {"actor_targets":true,"allowed_relations":["ally","enemy","neutral"],"domain":"actor","max_targets":1,"min_targets":1,"range_ft":600,"requires_line_of_sight":true,"shape":"single"} | Effects: [{"ability":"auto","attack_kind":"weapon_melee","on_hit":[{"ability":"auto","dice":"weapon","kind":"damage","type":"weapon"}],"resolution":"attack_roll","vs":"ac"}]</x:v>
      </x:c>
      <x:c r="H19" s="21" t="str">
        <x:v>verified_mechanical</x:v>
      </x:c>
      <x:c r="I19" s="34" t="str">
        <x:v>Passed</x:v>
      </x:c>
      <x:c r="J19" s="21" t="str">
        <x:v>81dbcb30-7c37-487d-a8b8-24464b7884ab</x:v>
      </x:c>
      <x:c r="K19" s="21" t="str">
        <x:v>Melee Weapon Attack PASS — target selection, attack vs AC, damage, and modifier breakdown are verified.</x:v>
      </x:c>
    </x:row>
    <x:row r="20" ht="48" customHeight="1">
      <x:c r="A20" s="21" t="str">
        <x:v>Catalog action</x:v>
      </x:c>
      <x:c r="B20" s="21" t="str">
        <x:v>Рывок</x:v>
      </x:c>
      <x:c r="C20" s="21" t="str">
        <x:v>action_basic_dash</x:v>
      </x:c>
      <x:c r="D20" s="21" t="str">
        <x:v>63cbe0ad-f230-4156-9c10-af2242a59964</x:v>
      </x:c>
      <x:c r="E20" s="21" t="str">
        <x:v>Action</x:v>
      </x:c>
      <x:c r="F20" s="21" t="str">
        <x:v>["action"]</x:v>
      </x:c>
      <x:c r="G20" s="21" t="str">
        <x:v>Дополнительное перемещение, равное вашей Скорости, до начала вашего следующего хода. | Activation: active; cost action | Targeting: {"actor_targets":false,"allowed_relations":["self"],"domain":"actor","max_targets":1,"min_targets":0,"range_ft":0,"requires_line_of_sight":false,"shape":"self"} | Effects: [{"resolution":"auto","result":[{"applies_to":{"roll":"speed"},"duration":{"type":"until_start_of_next_turn"},"kind":"modifier","op":"add","value":"character_speed"}]}]</x:v>
      </x:c>
      <x:c r="H20" s="21" t="str">
        <x:v>verified_mechanical</x:v>
      </x:c>
      <x:c r="I20" s="34" t="str">
        <x:v>Passed</x:v>
      </x:c>
      <x:c r="J20" s="21" t="str">
        <x:v>81dbcb30-7c37-487d-a8b8-24464b7884ab</x:v>
      </x:c>
      <x:c r="K20" s="21" t="str">
        <x:v>Dash PASS — consumes the main action and visibly adds the character’s speed to movement for the current turn.</x:v>
      </x:c>
    </x:row>
    <x:row r="21" ht="48" customHeight="1">
      <x:c r="A21" s="21" t="str">
        <x:v>Catalog action</x:v>
      </x:c>
      <x:c r="B21" s="21" t="str">
        <x:v>Скимитар</x:v>
      </x:c>
      <x:c r="C21" s="21" t="str">
        <x:v>MONSTER-ACTION-GOBLIN-SCIMITAR</x:v>
      </x:c>
      <x:c r="D21" s="21" t="str">
        <x:v>b1000000-0000-4000-8000-000000000001</x:v>
      </x:c>
      <x:c r="E21" s="21" t="str">
        <x:v>Action</x:v>
      </x:c>
      <x:c r="F21" s="21" t="str">
        <x:v>["action"]</x:v>
      </x:c>
      <x:c r="G21" s="21" t="str">
        <x:v>Рукопашная атака гоблина-воина. | Activation: active; cost 1× action | Targeting: {"actor_targets":true,"allowed_relations":["enemy"],"domain":"actor","max_targets":1,"min_targets":1,"range_ft":5,"requires_line_of_sight":true,"shape":"single"} | Effects: [{"ability":"dex","attack_kind":"weapon_melee","on_hit":[{"ability":"dex","dice":"1d6","kind":"damage","type":"slashing"}],"resolution":"attack_roll","vs":"ac"}]</x:v>
      </x:c>
      <x:c r="H21" s="21" t="str">
        <x:v>uncertified</x:v>
      </x:c>
      <x:c r="I21" s="34" t="str">
        <x:v>Passed</x:v>
      </x:c>
      <x:c r="J21" s="21" t="str">
        <x:v>81dbcb30-7c37-487d-a8b8-24464b7884ab</x:v>
      </x:c>
      <x:c r="K21" s="21" t="str">
        <x:v>Scimitar Attack PASS — qualifying melee/off-hand paths resolve with correct action economy and readable damage.</x:v>
      </x:c>
    </x:row>
    <x:row r="22" ht="48" customHeight="1">
      <x:c r="A22" s="21" t="str">
        <x:v>Catalog action</x:v>
      </x:c>
      <x:c r="B22" s="21" t="str">
        <x:v>Толкнуть</x:v>
      </x:c>
      <x:c r="C22" s="21" t="str">
        <x:v>action_shove</x:v>
      </x:c>
      <x:c r="D22" s="21" t="str">
        <x:v>92a32f25-558f-47c5-bddc-7ea97f83be04</x:v>
      </x:c>
      <x:c r="E22" s="21" t="str">
        <x:v>Action</x:v>
      </x:c>
      <x:c r="F22" s="21" t="str">
        <x:v>["bonus_action"]</x:v>
      </x:c>
      <x:c r="G22" s="21" t="str">
        <x:v>Состязание Атлетики против Атлетики или Акробатики цели в пределах 5 футов. При успехе вы толкаете цель на 5 футов прочь или сбиваете её с ног. | Activation: active; cost bonus_action | Targeting: {"filter":"enemy","range":"5 feet","shape":"single"} | Effects: [{"ability":"str","contest_vs":["athletics","acrobatics"],"mode":"contest","on_success":[{"distance":5,"kind":"movement","value":"push"},{"description":"Либо вместо толчка сбить цель с ног (состояние Распластан).","kind":"narrative"}],"resolution":"ability_check","skill":"athletics"}]</x:v>
      </x:c>
      <x:c r="H22" s="21" t="str">
        <x:v>uncertified</x:v>
      </x:c>
      <x:c r="I22" s="34" t="str">
        <x:v>Passed</x:v>
      </x:c>
      <x:c r="J22" s="21" t="str">
        <x:v>81dbcb30-7c37-487d-a8b8-24464b7884ab</x:v>
      </x:c>
      <x:c r="K22" s="21" t="str">
        <x:v>Shove PASS — target contest/save result and the selected push/prone outcome are shown in combat.</x:v>
      </x:c>
    </x:row>
    <x:row r="23" ht="48" customHeight="1">
      <x:c r="A23" s="21" t="str">
        <x:v>Catalog action</x:v>
      </x:c>
      <x:c r="B23" s="21" t="str">
        <x:v>Уклонение</x:v>
      </x:c>
      <x:c r="C23" s="21" t="str">
        <x:v>action_basic_dodge</x:v>
      </x:c>
      <x:c r="D23" s="21" t="str">
        <x:v>b0085bf7-130a-41c9-956d-54a093a1df99</x:v>
      </x:c>
      <x:c r="E23" s="21" t="str">
        <x:v>Action</x:v>
      </x:c>
      <x:c r="F23" s="21" t="str">
        <x:v>["action"]</x:v>
      </x:c>
      <x:c r="G23" s="21" t="str">
        <x:v>До начала следующего хода атаки по вам совершаются с помехой, а спасброски Ловкости — с преимуществом (если вы видите атакующего и не обездвижены). | Activation: active; cost action | Targeting: {"actor_targets":false,"allowed_relations":["self"],"domain":"actor","max_targets":1,"min_targets":0,"range_ft":0,"requires_line_of_sight":false,"shape":"self"} | Effects: [{"resolution":"auto","result":[{"applies_to":{"roll":"attack"},"duration":{"type":"until_start_of_next_turn"},"kind":"modifier","op":"disadvantage","scope":"target"},{"applies_to":{"filter":{"ability":"dex"},"roll":"saving_throw"},"duration":{"type":"until_start_of_next_turn"},"kind":"modifier","op":"advantage"}]}]</x:v>
      </x:c>
      <x:c r="H23" s="21" t="str">
        <x:v>verified_mechanical</x:v>
      </x:c>
      <x:c r="I23" s="34" t="str">
        <x:v>Passed</x:v>
      </x:c>
      <x:c r="J23" s="21" t="str">
        <x:v>81dbcb30-7c37-487d-a8b8-24464b7884ab</x:v>
      </x:c>
      <x:c r="K23" s="21" t="str">
        <x:v>Dodge PASS — consumes the main action and clearly applies incoming-attack disadvantage until the next turn.</x:v>
      </x:c>
    </x:row>
    <x:row r="24" ht="48" customHeight="1">
      <x:c r="A24" s="21" t="str">
        <x:v>Catalog action</x:v>
      </x:c>
      <x:c r="B24" s="21" t="str">
        <x:v>Уклонение</x:v>
      </x:c>
      <x:c r="C24" s="21" t="str">
        <x:v>action_dodge</x:v>
      </x:c>
      <x:c r="D24" s="21" t="str">
        <x:v>070e89cf-ef2e-4d5a-9526-e2d6e7c9fc6e</x:v>
      </x:c>
      <x:c r="E24" s="21" t="str">
        <x:v>Action</x:v>
      </x:c>
      <x:c r="F24" s="21" t="str">
        <x:v>["main_action"]</x:v>
      </x:c>
      <x:c r="G24" s="21" t="str">
        <x:v>До начала вашего следующего хода атаки по вам совершаются с помехой (если вы видите атакующего), а вы получаете преимущество на спасброски Ловкости. | Activation: active; cost action | Targeting: {"shape":"self"} | Effects: [{"resolution":"auto","result":[{"applies_to":{"roll":"attack"},"duration":{"type":"until_start_of_next_turn"},"kind":"modifier","op":"disadvantage","scope":"target"},{"applies_to":{"filter":{"ability":"dex"},"roll":"saving_throw"},"duration":{"type":"until_start_of_next_turn"},"kind":"modifier","op":"advantage"}]}]</x:v>
      </x:c>
      <x:c r="H24" s="21" t="str">
        <x:v>uncertified</x:v>
      </x:c>
      <x:c r="I24" s="34" t="str">
        <x:v>Passed</x:v>
      </x:c>
      <x:c r="J24" s="21" t="str">
        <x:v>81dbcb30-7c37-487d-a8b8-24464b7884ab</x:v>
      </x:c>
      <x:c r="K24" s="21" t="str">
        <x:v>Compatibility alias PASS — the legacy entity remains supported but is hidden from the player; the canonical visible action passed sheet, combat, and clarity with no duplicate button.</x:v>
      </x:c>
    </x:row>
    <x:row r="25" ht="48" customHeight="1">
      <x:c r="A25" s="21" t="str">
        <x:v>Catalog action</x:v>
      </x:c>
      <x:c r="B25" s="21" t="str">
        <x:v>Укус</x:v>
      </x:c>
      <x:c r="C25" s="21" t="str">
        <x:v>MONSTER-ACTION-WOLF-BITE</x:v>
      </x:c>
      <x:c r="D25" s="21" t="str">
        <x:v>b1000000-0000-4000-8000-000000000003</x:v>
      </x:c>
      <x:c r="E25" s="21" t="str">
        <x:v>Action</x:v>
      </x:c>
      <x:c r="F25" s="21" t="str">
        <x:v>["action"]</x:v>
      </x:c>
      <x:c r="G25" s="21" t="str">
        <x:v>Рукопашная атака волка. Эффект опрокидывания вынесен за границы первой версии. | Activation: active; cost 1× action | Targeting: {"actor_targets":true,"allowed_relations":["enemy"],"domain":"actor","max_targets":1,"min_targets":1,"range_ft":5,"requires_line_of_sight":true,"shape":"single"} | Effects: [{"ability":"str","attack_kind":"weapon_melee","on_hit":[{"ability":"str","dice":"1d6","kind":"damage","type":"piercing"}],"resolution":"attack_roll","vs":"ac"}]</x:v>
      </x:c>
      <x:c r="H25" s="21" t="str">
        <x:v>uncertified</x:v>
      </x:c>
      <x:c r="I25" s="34" t="str">
        <x:v>Passed</x:v>
      </x:c>
      <x:c r="J25" s="21" t="str">
        <x:v>81dbcb30-7c37-487d-a8b8-24464b7884ab</x:v>
      </x:c>
      <x:c r="K25" s="21" t="str">
        <x:v>Bite PASS — qualifying natural attack resolves against AC and journals damage and its source.</x:v>
      </x:c>
    </x:row>
    <x:row r="26" ht="48" customHeight="1">
      <x:c r="A26" s="21" t="str">
        <x:v>Catalog condition</x:v>
      </x:c>
      <x:c r="B26" s="21" t="str">
        <x:v>Бессознательный</x:v>
      </x:c>
      <x:c r="C26" s="21" t="str">
        <x:v>COND-unconscious</x:v>
      </x:c>
      <x:c r="D26" s="21" t="str">
        <x:v>d0302e53-474e-407b-a1b5-bed7eb289d78</x:v>
      </x:c>
      <x:c r="E26" s="21" t="str">
        <x:v>Condition</x:v>
      </x:c>
      <x:c r="F26" s="21" t="str">
        <x:v>{"mode":"passive"}</x:v>
      </x:c>
      <x:c r="G26" s="21" t="str">
        <x:v>Бездействие. Вы являетесь Недееспособным и Сбитым с ног и роняете всё, что держите в руках. Когда это состояние заканчивается, вы остаётесь Сбитым с ног. Нулевая скорость. Ваша Скорость равна 0 и не может увеличиться. Влияние на атаки. Броски атаки по вам совершаются с Преимуществом. Влияние на спасброски. Вы автоматически проваливаете спасброски Силы и Ловкости. Автоматическое Критическое попадание. Любой бросок атаки при попадании в вас является Критическим попаданием, если атакующий находится в пределах 5 футов от вас. Неосознанность. Вы не осознаёте своё окружение. | Activation: passive | Effects: [{"resolution":"auto","result":[{"applies_to":{"roll":"attack"},"kind":"modifier","op":"advantage","scope":"target"},{"applies_to":{"roll":"speed"},"kind":"modifier","op":"set","value":"0"},{"applies_to":{"filter":{"ability":"str"},"roll":"saving_throw"},"kind":"modifier","op":"auto_fail"}…</x:v>
      </x:c>
      <x:c r="H26" s="21" t="str">
        <x:v>verified_mechanical</x:v>
      </x:c>
      <x:c r="I26" s="34" t="str">
        <x:v>Passed</x:v>
      </x:c>
      <x:c r="J26" s="21" t="str">
        <x:v>81dbcb30-7c37-487d-a8b8-24464b7884ab</x:v>
      </x:c>
      <x:c r="K26" s="21" t="str">
        <x:v>Unconscious PASS — condition rules and affected capabilities are enforced; the target inspector states the condition and consequences.</x:v>
      </x:c>
    </x:row>
    <x:row r="27" ht="48" customHeight="1">
      <x:c r="A27" s="21" t="str">
        <x:v>Catalog condition</x:v>
      </x:c>
      <x:c r="B27" s="21" t="str">
        <x:v>Испуганный</x:v>
      </x:c>
      <x:c r="C27" s="21" t="str">
        <x:v>COND-frightened</x:v>
      </x:c>
      <x:c r="D27" s="21" t="str">
        <x:v>291c69ad-c87b-41b1-8728-b83f8fec9810</x:v>
      </x:c>
      <x:c r="E27" s="21" t="str">
        <x:v>Condition</x:v>
      </x:c>
      <x:c r="F27" s="21" t="str">
        <x:v>{"mode":"passive"}</x:v>
      </x:c>
      <x:c r="G27" s="21" t="str">
        <x:v>Влияние на атаки и проверки характеристик. Пока источник страха на линии вашего обзора, вы совершаете с Помехой проверки характеристик и броски атаки. Не можете приближаться. Вы не можете добровольно приближаться к источнику страха. | Activation: passive | Effects: [{"resolution":"auto","result":[{"applies_to":{"roll":"attack"},"kind":"modifier","op":"disadvantage","when":[{"kind":"condition_source_in_line_of_sight"}]},{"applies_to":{"roll":"ability_check"},"kind":"modifier","op":"disadvantage","when":[{"kind":"condition_source_in_line_of_sight"}]},{"applies_to":{"roll":"movement_toward_condition_source"},"kind":"modifier","op":"deny","when":[{"kind":"roll_target_is_condition_source"}]}]}]</x:v>
      </x:c>
      <x:c r="H27" s="21" t="str">
        <x:v>verified_mechanical</x:v>
      </x:c>
      <x:c r="I27" s="34" t="str">
        <x:v>Passed</x:v>
      </x:c>
      <x:c r="J27" s="21" t="str">
        <x:v>81dbcb30-7c37-487d-a8b8-24464b7884ab</x:v>
      </x:c>
      <x:c r="K27" s="21" t="str">
        <x:v>Frightened PASS — disadvantage and movement restriction are enforced and visible on the affected actor.</x:v>
      </x:c>
    </x:row>
    <x:row r="28" ht="48" customHeight="1">
      <x:c r="A28" s="21" t="str">
        <x:v>Catalog condition</x:v>
      </x:c>
      <x:c r="B28" s="21" t="str">
        <x:v>Истощённый</x:v>
      </x:c>
      <x:c r="C28" s="21" t="str">
        <x:v>COND-exhaustion</x:v>
      </x:c>
      <x:c r="D28" s="21" t="str">
        <x:v>d65ccfb8-a5db-4686-8ed7-2ac8f9e59075</x:v>
      </x:c>
      <x:c r="E28" s="21" t="str">
        <x:v>Condition</x:v>
      </x:c>
      <x:c r="F28" s="21" t="str">
        <x:v>{"mode":"passive"}</x:v>
      </x:c>
      <x:c r="G28" s="21" t="str">
        <x:v>Уровни Истощения. Это состояние может накапливаться. Каждый раз, когда вы получаете его, вы получаете 1 уровень Истощения. Вы умираете, когда получаете 6-й уровень Истощения. Влияние на Тесты к20. Когда вы совершаете Тест к20, результат броска уменьшается на удвоенное значение вашего уровня Истощения. Уменьшение скорости. Ваша Скорость уменьшается на количество футов, равное пятикратному уровню вашего Истощения. Устранение уровней Истощения. После завершения Долгого отдыха ваш уровень Истощения уменьшается на 1. Когда ваш уровень Истощения достигает 0, состояние заканчивается. | Activation: passive | Effects: [{"resolution":"auto","result":[{"applies_to":{"roll":"d20"},"kind":"modifier","op":"add","value":"-2"},{"applies_to":{"roll":"speed"},"kind":"modifier","op":"add","value":"-5"}]}]</x:v>
      </x:c>
      <x:c r="H28" s="21" t="str">
        <x:v>verified_mechanical</x:v>
      </x:c>
      <x:c r="I28" s="34" t="str">
        <x:v>Passed</x:v>
      </x:c>
      <x:c r="J28" s="21" t="str">
        <x:v>81dbcb30-7c37-487d-a8b8-24464b7884ab</x:v>
      </x:c>
      <x:c r="K28" s="21" t="str">
        <x:v>Exhaustion PASS — level-based penalties are applied by the rules matrix and the current level/effects are inspectable.</x:v>
      </x:c>
    </x:row>
    <x:row r="29" ht="48" customHeight="1">
      <x:c r="A29" s="21" t="str">
        <x:v>Catalog condition</x:v>
      </x:c>
      <x:c r="B29" s="21" t="str">
        <x:v>Невидимый</x:v>
      </x:c>
      <x:c r="C29" s="21" t="str">
        <x:v>COND-invisible</x:v>
      </x:c>
      <x:c r="D29" s="21" t="str">
        <x:v>a33608fe-4378-465d-a81a-85920104ffc4</x:v>
      </x:c>
      <x:c r="E29" s="21" t="str">
        <x:v>Condition</x:v>
      </x:c>
      <x:c r="F29" s="21" t="str">
        <x:v>{"mode":"passive"}</x:v>
      </x:c>
      <x:c r="G29" s="21" t="str">
        <x:v>Внезапность. Если вы совершаете бросок Инициативы с состоянием Невидимый, то делаете это с Преимуществом. Скрытость. На вас не может влиять никакой эффект, требующий, чтобы его цель была видна, если только создатель такого эффекта не может каким-либо образом видеть вас. Всё несомое и носимое вами снаряжение также скрывается. Влияние на атаки. Броски атаки по вам совершаются с Помехой, а ваши броски атаки совершаются с Преимуществом, если только существо не может каким-либо образом видеть вас. | Activation: passive | Effects: [{"resolution":"auto","result":[{"applies_to":{"roll":"attack"},"kind":"modifier","op":"advantage","when":[{"kind":"observer_can_see_condition_owner","observer":"roll_target","value":false}]},{"applies_to":{"roll":"attack"},"kind":"modifier","op":"disadvantage","scope":"target","when":[{"kind":"observer_can_see_condition_owner","observer":"roller","value":false}]},{…</x:v>
      </x:c>
      <x:c r="H29" s="21" t="str">
        <x:v>verified_mechanical</x:v>
      </x:c>
      <x:c r="I29" s="34" t="str">
        <x:v>Passed</x:v>
      </x:c>
      <x:c r="J29" s="21" t="str">
        <x:v>81dbcb30-7c37-487d-a8b8-24464b7884ab</x:v>
      </x:c>
      <x:c r="K29" s="21" t="str">
        <x:v>Invisible PASS — attack advantage/disadvantage and visibility interactions are enforced; the target inspector exposes the condition.</x:v>
      </x:c>
    </x:row>
    <x:row r="30" ht="48" customHeight="1">
      <x:c r="A30" s="21" t="str">
        <x:v>Catalog condition</x:v>
      </x:c>
      <x:c r="B30" s="21" t="str">
        <x:v>Недееспособный</x:v>
      </x:c>
      <x:c r="C30" s="21" t="str">
        <x:v>COND-incapacitated</x:v>
      </x:c>
      <x:c r="D30" s="21" t="str">
        <x:v>4561ee6d-aa86-49d1-8f84-2aab23bd2d9a</x:v>
      </x:c>
      <x:c r="E30" s="21" t="str">
        <x:v>Condition</x:v>
      </x:c>
      <x:c r="F30" s="21" t="str">
        <x:v>{"mode":"passive"}</x:v>
      </x:c>
      <x:c r="G30" s="21" t="str">
        <x:v>Бездействие. Вы не можете совершать действия, Бонусные действия и Реакции. Без концентрации. Вы не можете Концентрироваться. Безмолвие. Вы не можете говорить. Потрясение. Если вы совершаете бросок Инициативы с состоянием Недееспособный, то делаете это с Помехой. | Activation: passive | Effects: [{"resolution":"auto","result":[{"applies_to":{"roll":"initiative"},"kind":"modifier","op":"disadvantage"},{"applies_to":{"roll":"action"},"kind":"modifier","op":"deny"},{"applies_to":{"roll":"bonus_action"},"kind":"modifier","op":"deny"},{"applies_to":{"roll":"reaction"},"kind":"modifier","op":"deny"},{"applies_to":{"roll":"concentration"},"kind":"modifier","op":"deny"},{"applies_to":{"roll":"speech"},"kind":"modifier","op":"deny"}]}]</x:v>
      </x:c>
      <x:c r="H30" s="21" t="str">
        <x:v>verified_mechanical</x:v>
      </x:c>
      <x:c r="I30" s="34" t="str">
        <x:v>Passed</x:v>
      </x:c>
      <x:c r="J30" s="21" t="str">
        <x:v>81dbcb30-7c37-487d-a8b8-24464b7884ab</x:v>
      </x:c>
      <x:c r="K30" s="21" t="str">
        <x:v>Incapacitated PASS — actions and reactions are blocked and the combat UI explains why they are unavailable.</x:v>
      </x:c>
    </x:row>
    <x:row r="31" ht="48" customHeight="1">
      <x:c r="A31" s="21" t="str">
        <x:v>Catalog condition</x:v>
      </x:c>
      <x:c r="B31" s="21" t="str">
        <x:v>Оглохший</x:v>
      </x:c>
      <x:c r="C31" s="21" t="str">
        <x:v>COND-deafened</x:v>
      </x:c>
      <x:c r="D31" s="21" t="str">
        <x:v>5f6ff775-a9a5-4294-acfa-99939288697f</x:v>
      </x:c>
      <x:c r="E31" s="21" t="str">
        <x:v>Condition</x:v>
      </x:c>
      <x:c r="F31" s="21" t="str">
        <x:v>{"mode":"passive"}</x:v>
      </x:c>
      <x:c r="G31" s="21" t="str">
        <x:v>Не можете слышать. Вы не можете слышать и автоматически проваливаете проверки характеристик, требующие слуха. | Activation: passive | Effects: [{"resolution":"auto","result":[{"applies_to":{"filter":{"sense":"hearing"},"roll":"ability_check"},"kind":"modifier","op":"auto_fail"}]}]</x:v>
      </x:c>
      <x:c r="H31" s="21" t="str">
        <x:v>verified_mechanical</x:v>
      </x:c>
      <x:c r="I31" s="34" t="str">
        <x:v>Passed</x:v>
      </x:c>
      <x:c r="J31" s="21" t="str">
        <x:v>81dbcb30-7c37-487d-a8b8-24464b7884ab</x:v>
      </x:c>
      <x:c r="K31" s="21" t="str">
        <x:v>Deafened PASS — hearing-dependent consequences are represented and the condition is visible to the player.</x:v>
      </x:c>
    </x:row>
    <x:row r="32" ht="48" customHeight="1">
      <x:c r="A32" s="21" t="str">
        <x:v>Catalog condition</x:v>
      </x:c>
      <x:c r="B32" s="21" t="str">
        <x:v>Окаменевший</x:v>
      </x:c>
      <x:c r="C32" s="21" t="str">
        <x:v>COND-petrified</x:v>
      </x:c>
      <x:c r="D32" s="21" t="str">
        <x:v>0afca9f5-5f83-4441-9f8e-ca1a805d39a6</x:v>
      </x:c>
      <x:c r="E32" s="21" t="str">
        <x:v>Condition</x:v>
      </x:c>
      <x:c r="F32" s="21" t="str">
        <x:v>{"mode":"passive"}</x:v>
      </x:c>
      <x:c r="G32" s="21" t="str">
        <x:v>Превращение в неодушевлённую субстанцию. Вы и все немагические предметы, надетые и переносимые вами, превращаетесь в твёрдую неодушевлённую субстанцию, обычно в камень. Ваш вес увеличивается в десять раз, и вы перестаёте стареть. Недееспособность. Вы являетесь Недееспособным. Нулевая скорость. Ваша Скорость равна 0 и не может увеличиться. Влияние на атаки. Броски атаки по вам совершаются с Преимуществом. Влияние на спасброски. Вы автоматически проваливаете спасброски Силы и Ловкости. Сопротивление урону. Вы обладаете Сопротивлением ко всем типам урона. Иммунитет к ядам. Вы обладаете Иммунитетом к состоянию Отравленный. | Activation: passive | Effects: [{"resolution":"auto","result":[{"applies_to":{"roll":"attack"},"kind":"modifier","op":"advantage","scope":"target"},{"applies_to":{"roll":"speed"},"kind":"modifier","op":"set","value":"0"},{"applies_to":{"filter":{"ability":"str"},"roll":…</x:v>
      </x:c>
      <x:c r="H32" s="21" t="str">
        <x:v>verified_mechanical</x:v>
      </x:c>
      <x:c r="I32" s="34" t="str">
        <x:v>Passed</x:v>
      </x:c>
      <x:c r="J32" s="21" t="str">
        <x:v>81dbcb30-7c37-487d-a8b8-24464b7884ab</x:v>
      </x:c>
      <x:c r="K32" s="21" t="str">
        <x:v>Petrified PASS — incapacitation, movement, save, resistance, and attack consequences pass the comprehensive condition matrix and are inspectable.</x:v>
      </x:c>
    </x:row>
    <x:row r="33" ht="48" customHeight="1">
      <x:c r="A33" s="21" t="str">
        <x:v>Catalog condition</x:v>
      </x:c>
      <x:c r="B33" s="21" t="str">
        <x:v>Опутанный</x:v>
      </x:c>
      <x:c r="C33" s="21" t="str">
        <x:v>COND-restrained</x:v>
      </x:c>
      <x:c r="D33" s="21" t="str">
        <x:v>a9ec9210-3c51-4cd4-b1c5-0f2761fb6108</x:v>
      </x:c>
      <x:c r="E33" s="21" t="str">
        <x:v>Condition</x:v>
      </x:c>
      <x:c r="F33" s="21" t="str">
        <x:v>{"mode":"passive"}</x:v>
      </x:c>
      <x:c r="G33" s="21" t="str">
        <x:v>Скорость 0. Ваша Скорость равна 0 и не может быть увеличена. Влияние на атаки. Ваши броски атаки совершаются с Помехой, а броски атаки по вам совершаются с Преимуществом. Влияние на спасброски. Вы совершаете с Помехой спасброски Ловкости. | Activation: passive | Effects: [{"resolution":"auto","result":[{"applies_to":{"roll":"attack"},"kind":"modifier","op":"disadvantage"},{"applies_to":{"filter":{"ability":"dex"},"roll":"saving_throw"},"kind":"modifier","op":"disadvantage"},{"applies_to":{"roll":"attack"},"kind":"modifier","op":"advantage","scope":"target"},{"applies_to":{"roll":"speed"},"kind":"modifier","op":"set","value":"0"}]}]</x:v>
      </x:c>
      <x:c r="H33" s="21" t="str">
        <x:v>verified_mechanical</x:v>
      </x:c>
      <x:c r="I33" s="34" t="str">
        <x:v>Passed</x:v>
      </x:c>
      <x:c r="J33" s="21" t="str">
        <x:v>81dbcb30-7c37-487d-a8b8-24464b7884ab</x:v>
      </x:c>
      <x:c r="K33" s="21" t="str">
        <x:v>Restrained PASS — speed, attacks, incoming attacks, and Dexterity saves follow the condition rules and are visible.</x:v>
      </x:c>
    </x:row>
    <x:row r="34" ht="48" customHeight="1">
      <x:c r="A34" s="21" t="str">
        <x:v>Catalog condition</x:v>
      </x:c>
      <x:c r="B34" s="21" t="str">
        <x:v>Ослеплённый</x:v>
      </x:c>
      <x:c r="C34" s="21" t="str">
        <x:v>COND-blinded</x:v>
      </x:c>
      <x:c r="D34" s="21" t="str">
        <x:v>d10dd048-8fb8-4321-8bbe-08dd61dd82a7</x:v>
      </x:c>
      <x:c r="E34" s="21" t="str">
        <x:v>Condition</x:v>
      </x:c>
      <x:c r="F34" s="21" t="str">
        <x:v>{"mode":"passive"}</x:v>
      </x:c>
      <x:c r="G34" s="21" t="str">
        <x:v>Не можете видеть. Вы не можете видеть и автоматически проваливаете проверки характеристик, требующие зрения. Влияние на атаки. Ваши броски атаки совершаются с Помехой, а броски атаки по вам совершаются с Преимуществом. | Activation: passive | Effects: [{"resolution":"auto","result":[{"applies_to":{"filter":{"sense":"sight"},"roll":"ability_check"},"kind":"modifier","op":"auto_fail"},{"applies_to":{"roll":"attack"},"kind":"modifier","op":"disadvantage"},{"applies_to":{"roll":"attack"},"kind":"modifier","op":"advantage","scope":"target"}]}]</x:v>
      </x:c>
      <x:c r="H34" s="21" t="str">
        <x:v>verified_mechanical</x:v>
      </x:c>
      <x:c r="I34" s="34" t="str">
        <x:v>Passed</x:v>
      </x:c>
      <x:c r="J34" s="21" t="str">
        <x:v>81dbcb30-7c37-487d-a8b8-24464b7884ab</x:v>
      </x:c>
      <x:c r="K34" s="21" t="str">
        <x:v>Blinded PASS — attack disadvantage/incoming advantage are enforced and the condition is visible in the target inspector.</x:v>
      </x:c>
    </x:row>
    <x:row r="35" ht="48" customHeight="1">
      <x:c r="A35" s="21" t="str">
        <x:v>Catalog condition</x:v>
      </x:c>
      <x:c r="B35" s="21" t="str">
        <x:v>Отравленный</x:v>
      </x:c>
      <x:c r="C35" s="21" t="str">
        <x:v>COND-poisoned</x:v>
      </x:c>
      <x:c r="D35" s="21" t="str">
        <x:v>b22482db-5254-4528-b873-ecf41fc13c30</x:v>
      </x:c>
      <x:c r="E35" s="21" t="str">
        <x:v>Condition</x:v>
      </x:c>
      <x:c r="F35" s="21" t="str">
        <x:v>{"mode":"passive"}</x:v>
      </x:c>
      <x:c r="G35" s="21" t="str">
        <x:v>Влияние на атаки и проверки характеристик. Вы совершаете с Помехой броски атаки и проверки характеристик. | Activation: passive | Effects: [{"resolution":"auto","result":[{"applies_to":{"roll":"attack"},"kind":"modifier","op":"disadvantage"},{"applies_to":{"roll":"ability_check"},"kind":"modifier","op":"disadvantage"}]}]</x:v>
      </x:c>
      <x:c r="H35" s="21" t="str">
        <x:v>verified_mechanical</x:v>
      </x:c>
      <x:c r="I35" s="34" t="str">
        <x:v>Passed</x:v>
      </x:c>
      <x:c r="J35" s="21" t="str">
        <x:v>81dbcb30-7c37-487d-a8b8-24464b7884ab</x:v>
      </x:c>
      <x:c r="K35" s="21" t="str">
        <x:v>Poisoned PASS — representative browser combat showed disadvantage, both d20s, selected lower result, and visible target condition.</x:v>
      </x:c>
    </x:row>
    <x:row r="36" ht="48" customHeight="1">
      <x:c r="A36" s="21" t="str">
        <x:v>Catalog condition</x:v>
      </x:c>
      <x:c r="B36" s="21" t="str">
        <x:v>Очарованный</x:v>
      </x:c>
      <x:c r="C36" s="21" t="str">
        <x:v>COND-charmed</x:v>
      </x:c>
      <x:c r="D36" s="21" t="str">
        <x:v>ed7cc8d3-1af0-4af7-af13-046341f21491</x:v>
      </x:c>
      <x:c r="E36" s="21" t="str">
        <x:v>Condition</x:v>
      </x:c>
      <x:c r="F36" s="21" t="str">
        <x:v>{"mode":"passive"}</x:v>
      </x:c>
      <x:c r="G36" s="21" t="str">
        <x:v>Не можете вредить очаровавшему. Вы не можете атаковать очаровавшее вас существо или нацеливать на него наносящие урон способности и магические эффекты. Социальное преимущество. Очаровавшее вас существо совершает с Преимуществом проверки характеристик при социальном взаимодействии с вами. | Activation: passive | Effects: [{"resolution":"auto","result":[{"applies_to":{"roll":"harm"},"kind":"modifier","op":"deny","when":[{"kind":"roll_target_is_condition_source"}]},{"applies_to":{"filter":{"interaction":"social"},"roll":"ability_check"},"kind":"modifier","op":"advantage","scope":"target","when":[{"kind":"roller_is_condition_source"}]}]}]</x:v>
      </x:c>
      <x:c r="H36" s="21" t="str">
        <x:v>verified_mechanical</x:v>
      </x:c>
      <x:c r="I36" s="34" t="str">
        <x:v>Passed</x:v>
      </x:c>
      <x:c r="J36" s="21" t="str">
        <x:v>81dbcb30-7c37-487d-a8b8-24464b7884ab</x:v>
      </x:c>
      <x:c r="K36" s="21" t="str">
        <x:v>Charmed PASS — charm restrictions and relevant social/check rules pass the condition matrix; source and duration are inspectable.</x:v>
      </x:c>
    </x:row>
    <x:row r="37" ht="48" customHeight="1">
      <x:c r="A37" s="21" t="str">
        <x:v>Catalog condition</x:v>
      </x:c>
      <x:c r="B37" s="21" t="str">
        <x:v>Ошеломлённый</x:v>
      </x:c>
      <x:c r="C37" s="21" t="str">
        <x:v>COND-stunned</x:v>
      </x:c>
      <x:c r="D37" s="21" t="str">
        <x:v>bdcc16f4-532f-46cd-900d-b662f8e3976f</x:v>
      </x:c>
      <x:c r="E37" s="21" t="str">
        <x:v>Condition</x:v>
      </x:c>
      <x:c r="F37" s="21" t="str">
        <x:v>{"mode":"passive"}</x:v>
      </x:c>
      <x:c r="G37" s="21" t="str">
        <x:v>Недееспособность. У вас есть состояние [[Недееспособный|effect:4561ee6d-aa86-49d1-8f84-2aab23bd2d9a]]. Влияние на спасброски. Вы автоматически проваливаете спасброски Силы и Ловкости. Влияние на атаки. Броски атаки по вам совершаются с Преимуществом. | Activation: passive | Effects: [{"resolution":"auto","result":[{"applies_to":{"roll":"attack"},"kind":"modifier","op":"advantage","scope":"target"},{"applies_to":{"filter":{"ability":"str"},"roll":"saving_throw"},"kind":"modifier","op":"auto_fail"},{"applies_to":{"filter":{"ability":"dex"},"roll":"saving_throw"},"kind":"modifier","op":"auto_fail"}]}]</x:v>
      </x:c>
      <x:c r="H37" s="21" t="str">
        <x:v>verified_mechanical</x:v>
      </x:c>
      <x:c r="I37" s="34" t="str">
        <x:v>Passed</x:v>
      </x:c>
      <x:c r="J37" s="21" t="str">
        <x:v>81dbcb30-7c37-487d-a8b8-24464b7884ab</x:v>
      </x:c>
      <x:c r="K37" s="21" t="str">
        <x:v>Stunned PASS — incapacitation, movement, save, and attack consequences pass the condition matrix and are visible.</x:v>
      </x:c>
    </x:row>
    <x:row r="38" ht="48" customHeight="1">
      <x:c r="A38" s="21" t="str">
        <x:v>Catalog condition</x:v>
      </x:c>
      <x:c r="B38" s="21" t="str">
        <x:v>Парализованный</x:v>
      </x:c>
      <x:c r="C38" s="21" t="str">
        <x:v>COND-paralyzed</x:v>
      </x:c>
      <x:c r="D38" s="21" t="str">
        <x:v>74457eba-0f39-4f6d-90ce-ed84d3b9cda4</x:v>
      </x:c>
      <x:c r="E38" s="21" t="str">
        <x:v>Condition</x:v>
      </x:c>
      <x:c r="F38" s="21" t="str">
        <x:v>{"mode":"passive"}</x:v>
      </x:c>
      <x:c r="G38" s="21" t="str">
        <x:v>Недееспособность. У вас есть состояние [[Недееспособный|effect:4561ee6d-aa86-49d1-8f84-2aab23bd2d9a]]. Скорость 0. Ваша Скорость равна 0 и не может быть увеличена. Влияние на спасброски. Вы автоматически проваливаете спасброски Силы и Ловкости. Влияние на атаки. Броски атаки по вам совершаются с Преимуществом. Автоматические критические попадания. Все броски атаки, попадающие по вам, считаются Критическими попаданиями, если атакующий находится в пределах 5 футов от вас. | Activation: passive | Effects: [{"resolution":"auto","result":[{"applies_to":{"roll":"attack"},"kind":"modifier","op":"advantage","scope":"target"},{"applies_to":{"roll":"speed"},"kind":"modifier","op":"set","value":"0"},{"applies_to":{"filter":{"ability":"str"},"roll":"saving_throw"},"kind":"modifier","op":"auto_fail"},{"applies_to":{"filter":{"ability":"dex"},"roll":"saving_throw"},"kind":"modifier","op":"auto_fail"}…</x:v>
      </x:c>
      <x:c r="H38" s="21" t="str">
        <x:v>verified_mechanical</x:v>
      </x:c>
      <x:c r="I38" s="34" t="str">
        <x:v>Passed</x:v>
      </x:c>
      <x:c r="J38" s="21" t="str">
        <x:v>81dbcb30-7c37-487d-a8b8-24464b7884ab</x:v>
      </x:c>
      <x:c r="K38" s="21" t="str">
        <x:v>Paralyzed PASS — incapacitation, movement, saves, advantage, and close-range critical behavior pass the condition matrix.</x:v>
      </x:c>
    </x:row>
    <x:row r="39" ht="48" customHeight="1">
      <x:c r="A39" s="21" t="str">
        <x:v>Catalog condition</x:v>
      </x:c>
      <x:c r="B39" s="21" t="str">
        <x:v>Сбитый с ног</x:v>
      </x:c>
      <x:c r="C39" s="21" t="str">
        <x:v>COND-prone</x:v>
      </x:c>
      <x:c r="D39" s="21" t="str">
        <x:v>d7222978-b165-427c-b890-179db45a789f</x:v>
      </x:c>
      <x:c r="E39" s="21" t="str">
        <x:v>Condition</x:v>
      </x:c>
      <x:c r="F39" s="21" t="str">
        <x:v>{"mode":"passive"}</x:v>
      </x:c>
      <x:c r="G39" s="21" t="str">
        <x:v>Ограниченное перемещение. Вы можете перемещаться только ползком, или вы можете потратить перемещение в размере, равном половине вашей Скорости (округляя вниз), чтобы подняться и таким образом окончить на себе это состояние. Вы не можете подняться, если ваша Скорость равна 0. Влияние на атаки. Вы совершаете с Помехой броски атаки. Броски атаки по вам совершаются с Преимуществом, если атакующий находится в пределах 5 футов от вас; броски атаки по вам совершаются с Помехой, если атакующий находится далее 5 футов от вас. | Activation: passive | Effects: [{"resolution":"auto","result":[{"applies_to":{"roll":"attack"},"kind":"modifier","op":"disadvantage"},{"applies_to":{"roll":"attack"},"kind":"modifier","op":"advantage","scope":"target","when":[{"feet":5,"kind":"distance_to_condition_owner","operator":"lte","subject":"roller"}]},{"applies_to":{"roll":"attack"},"kind":"modifier","op":"disadv…</x:v>
      </x:c>
      <x:c r="H39" s="21" t="str">
        <x:v>verified_mechanical</x:v>
      </x:c>
      <x:c r="I39" s="34" t="str">
        <x:v>Passed</x:v>
      </x:c>
      <x:c r="J39" s="21" t="str">
        <x:v>81dbcb30-7c37-487d-a8b8-24464b7884ab</x:v>
      </x:c>
      <x:c r="K39" s="21" t="str">
        <x:v>Prone PASS — movement cost and distance-sensitive attack advantage/disadvantage are enforced and visible.</x:v>
      </x:c>
    </x:row>
    <x:row r="40" ht="48" customHeight="1">
      <x:c r="A40" s="21" t="str">
        <x:v>Catalog condition</x:v>
      </x:c>
      <x:c r="B40" s="21" t="str">
        <x:v>Схваченный</x:v>
      </x:c>
      <x:c r="C40" s="21" t="str">
        <x:v>COND-grappled</x:v>
      </x:c>
      <x:c r="D40" s="21" t="str">
        <x:v>851ae69b-faf3-4204-91b8-ae8e451f3718</x:v>
      </x:c>
      <x:c r="E40" s="21" t="str">
        <x:v>Condition</x:v>
      </x:c>
      <x:c r="F40" s="21" t="str">
        <x:v>{"mode":"passive"}</x:v>
      </x:c>
      <x:c r="G40" s="21" t="str">
        <x:v>Скорость 0. Ваша Скорость равна 0 и не может быть увеличена. Влияние на атаки. Вы совершаете с Помехой броски атаки по всем целям, кроме той, что схватила вас. Можете быть перемещены. Схватившее вас существо может при своём перемещении тащить или нести вас; при этом каждый фут перемещения стоит на 1 фут больше, если только вы не Крошечного размера или на две размера меньше его. | Activation: passive | Effects: [{"resolution":"auto","result":[{"applies_to":{"roll":"attack"},"kind":"modifier","op":"disadvantage","when":[{"kind":"roll_target_is_not_condition_source"}]},{"applies_to":{"roll":"speed"},"kind":"modifier","op":"set","value":"0"}]}]</x:v>
      </x:c>
      <x:c r="H40" s="21" t="str">
        <x:v>verified_mechanical</x:v>
      </x:c>
      <x:c r="I40" s="34" t="str">
        <x:v>Passed</x:v>
      </x:c>
      <x:c r="J40" s="21" t="str">
        <x:v>81dbcb30-7c37-487d-a8b8-24464b7884ab</x:v>
      </x:c>
      <x:c r="K40" s="21" t="str">
        <x:v>Grappled PASS — speed becomes 0, escape/removal behavior is supported, and the condition is visible to all relevant players.</x:v>
      </x:c>
    </x:row>
    <x:row r="41" ht="48" customHeight="1">
      <x:c r="A41" s="21" t="str">
        <x:v>Core flow</x:v>
      </x:c>
      <x:c r="B41" s="21" t="str">
        <x:v>Initiative and active turn</x:v>
      </x:c>
      <x:c r="C41" s="21" t="str">
        <x:v>CHECK-01</x:v>
      </x:c>
      <x:c r="D41" s="21" t="str"/>
      <x:c r="E41" s="21" t="str">
        <x:v>Checklist mechanic</x:v>
      </x:c>
      <x:c r="F41" s="21" t="str">
        <x:v>Varies</x:v>
      </x:c>
      <x:c r="G41" s="21" t="str">
        <x:v>Higher initiative acts first; reordering preserves the active actor and synchronizes the world scene.</x:v>
      </x:c>
      <x:c r="H41" s="21" t="str">
        <x:v>manual-checklist</x:v>
      </x:c>
      <x:c r="I41" s="34" t="str">
        <x:v>Passed</x:v>
      </x:c>
      <x:c r="J41" s="21" t="str">
        <x:v>9c20d86b-8c88-42be-8839-e3e3ad00853f</x:v>
      </x:c>
      <x:c r="K41" s="21" t="str">
        <x:v>Initiative/turn order PASS — bonuses, ordering, swap, active-turn resources, and turn advancement are verified in retained combats.</x:v>
      </x:c>
    </x:row>
    <x:row r="42" ht="48" customHeight="1">
      <x:c r="A42" s="21" t="str">
        <x:v>Health</x:v>
      </x:c>
      <x:c r="B42" s="21" t="str">
        <x:v>Damage, healing, temporary HP</x:v>
      </x:c>
      <x:c r="C42" s="21" t="str">
        <x:v>CHECK-09</x:v>
      </x:c>
      <x:c r="D42" s="21" t="str"/>
      <x:c r="E42" s="21" t="str">
        <x:v>Checklist mechanic</x:v>
      </x:c>
      <x:c r="F42" s="21" t="str">
        <x:v>Varies</x:v>
      </x:c>
      <x:c r="G42" s="21" t="str">
        <x:v>Damage consumes temporary HP first; healing respects maximum HP.</x:v>
      </x:c>
      <x:c r="H42" s="21" t="str">
        <x:v>manual-checklist</x:v>
      </x:c>
      <x:c r="I42" s="34" t="str">
        <x:v>Passed</x:v>
      </x:c>
      <x:c r="J42" s="21" t="str">
        <x:v>81dbcb30-7c37-487d-a8b8-24464b7884ab</x:v>
      </x:c>
      <x:c r="K42" s="21" t="str">
        <x:v>Damage/healing/temp HP PASS — application order, minimums, current/max HP, temporary HP absorption, and journal explanations are verified.</x:v>
      </x:c>
    </x:row>
    <x:row r="43" ht="48" customHeight="1">
      <x:c r="A43" s="21" t="str">
        <x:v>Movement</x:v>
      </x:c>
      <x:c r="B43" s="21" t="str">
        <x:v>Movement budget</x:v>
      </x:c>
      <x:c r="C43" s="21" t="str">
        <x:v>CHECK-05</x:v>
      </x:c>
      <x:c r="D43" s="21" t="str"/>
      <x:c r="E43" s="21" t="str">
        <x:v>Checklist mechanic</x:v>
      </x:c>
      <x:c r="F43" s="21" t="str">
        <x:v>Varies</x:v>
      </x:c>
      <x:c r="G43" s="21" t="str">
        <x:v>Movement is limited by remaining speed and the tactical map validates the destination.</x:v>
      </x:c>
      <x:c r="H43" s="21" t="str">
        <x:v>manual-checklist</x:v>
      </x:c>
      <x:c r="I43" s="34" t="str">
        <x:v>Passed</x:v>
      </x:c>
      <x:c r="J43" s="21" t="str">
        <x:v>81dbcb30-7c37-487d-a8b8-24464b7884ab</x:v>
      </x:c>
      <x:c r="K43" s="21" t="str">
        <x:v>Movement PASS — base speed, Dash, condition restrictions, and per-turn movement refresh are verified.</x:v>
      </x:c>
    </x:row>
    <x:row r="44" ht="48" customHeight="1">
      <x:c r="A44" s="21" t="str">
        <x:v>Resolution</x:v>
      </x:c>
      <x:c r="B44" s="21" t="str">
        <x:v>Attack roll versus AC</x:v>
      </x:c>
      <x:c r="C44" s="21" t="str">
        <x:v>CHECK-07</x:v>
      </x:c>
      <x:c r="D44" s="21" t="str"/>
      <x:c r="E44" s="21" t="str">
        <x:v>Checklist mechanic</x:v>
      </x:c>
      <x:c r="F44" s="21" t="str">
        <x:v>Varies</x:v>
      </x:c>
      <x:c r="G44" s="21" t="str">
        <x:v>Attack bonus, advantage/disadvantage, critical hit, and AC determine hit or miss.</x:v>
      </x:c>
      <x:c r="H44" s="21" t="str">
        <x:v>manual-checklist</x:v>
      </x:c>
      <x:c r="I44" s="34" t="str">
        <x:v>Passed</x:v>
      </x:c>
      <x:c r="J44" s="21" t="str">
        <x:v>81dbcb30-7c37-487d-a8b8-24464b7884ab</x:v>
      </x:c>
      <x:c r="K44" s="21" t="str">
        <x:v>Attack vs AC PASS — modifiers, advantage/disadvantage, critical handling, hit/miss threshold, and breakdown clarity are verified.</x:v>
      </x:c>
    </x:row>
    <x:row r="45" ht="48" customHeight="1">
      <x:c r="A45" s="21" t="str">
        <x:v>Resolution</x:v>
      </x:c>
      <x:c r="B45" s="21" t="str">
        <x:v>Saving throw versus DC</x:v>
      </x:c>
      <x:c r="C45" s="21" t="str">
        <x:v>CHECK-08</x:v>
      </x:c>
      <x:c r="D45" s="21" t="str"/>
      <x:c r="E45" s="21" t="str">
        <x:v>Checklist mechanic</x:v>
      </x:c>
      <x:c r="F45" s="21" t="str">
        <x:v>Varies</x:v>
      </x:c>
      <x:c r="G45" s="21" t="str">
        <x:v>The configured save ability and outcome branch determine effect application.</x:v>
      </x:c>
      <x:c r="H45" s="21" t="str">
        <x:v>manual-checklist</x:v>
      </x:c>
      <x:c r="I45" s="34" t="str">
        <x:v>Passed</x:v>
      </x:c>
      <x:c r="J45" s="21" t="str">
        <x:v>81dbcb30-7c37-487d-a8b8-24464b7884ab</x:v>
      </x:c>
      <x:c r="K45" s="21" t="str">
        <x:v>Save vs DC PASS — ability/save modifiers, DC comparison, success/failure, and effect outcome are visible and regression-covered.</x:v>
      </x:c>
    </x:row>
    <x:row r="46" ht="48" customHeight="1">
      <x:c r="A46" s="21" t="str">
        <x:v>Rest</x:v>
      </x:c>
      <x:c r="B46" s="21" t="str">
        <x:v>Resource refresh</x:v>
      </x:c>
      <x:c r="C46" s="21" t="str">
        <x:v>CHECK-12</x:v>
      </x:c>
      <x:c r="D46" s="21" t="str"/>
      <x:c r="E46" s="21" t="str">
        <x:v>Checklist mechanic</x:v>
      </x:c>
      <x:c r="F46" s="21" t="str">
        <x:v>Varies</x:v>
      </x:c>
      <x:c r="G46" s="21" t="str">
        <x:v>Scene refresh restores exact maximum resources without changing HP, effects, or current turn.</x:v>
      </x:c>
      <x:c r="H46" s="21" t="str">
        <x:v>manual-checklist</x:v>
      </x:c>
      <x:c r="I46" s="34" t="str">
        <x:v>Passed</x:v>
      </x:c>
      <x:c r="J46" s="21" t="str">
        <x:v>81dbcb30-7c37-487d-a8b8-24464b7884ab</x:v>
      </x:c>
      <x:c r="K46" s="21" t="str">
        <x:v>Rest PASS — short/long rest resources refresh correctly; the journal uses readable resource labels and duration text.</x:v>
      </x:c>
    </x:row>
    <x:row r="47" ht="48" customHeight="1">
      <x:c r="A47" s="21" t="str">
        <x:v>Spellcasting</x:v>
      </x:c>
      <x:c r="B47" s="21" t="str">
        <x:v>Concentration</x:v>
      </x:c>
      <x:c r="C47" s="21" t="str">
        <x:v>CHECK-11</x:v>
      </x:c>
      <x:c r="D47" s="21" t="str"/>
      <x:c r="E47" s="21" t="str">
        <x:v>Checklist mechanic</x:v>
      </x:c>
      <x:c r="F47" s="21" t="str">
        <x:v>Varies</x:v>
      </x:c>
      <x:c r="G47" s="21" t="str">
        <x:v>Starting a new concentration effect ends the previous one and damage can trigger a concentration save.</x:v>
      </x:c>
      <x:c r="H47" s="21" t="str">
        <x:v>manual-checklist</x:v>
      </x:c>
      <x:c r="I47" s="34" t="str">
        <x:v>Passed</x:v>
      </x:c>
      <x:c r="J47" s="21" t="str">
        <x:v>81dbcb30-7c37-487d-a8b8-24464b7884ab</x:v>
      </x:c>
      <x:c r="K47" s="21" t="str">
        <x:v>Concentration PASS — starting, replacing, damage checks, and ending concentration are covered by integration tests and representative browser inspection.</x:v>
      </x:c>
    </x:row>
    <x:row r="48" ht="48" customHeight="1">
      <x:c r="A48" s="21" t="str">
        <x:v>Spellcasting</x:v>
      </x:c>
      <x:c r="B48" s="21" t="str">
        <x:v>Spell slots</x:v>
      </x:c>
      <x:c r="C48" s="21" t="str">
        <x:v>CHECK-10</x:v>
      </x:c>
      <x:c r="D48" s="21" t="str"/>
      <x:c r="E48" s="21" t="str">
        <x:v>Checklist mechanic</x:v>
      </x:c>
      <x:c r="F48" s="21" t="str">
        <x:v>Varies</x:v>
      </x:c>
      <x:c r="G48" s="21" t="str">
        <x:v>Cantrips consume no spell slot; level-1 spells consume exactly one compatible level-1 slot.</x:v>
      </x:c>
      <x:c r="H48" s="21" t="str">
        <x:v>manual-checklist</x:v>
      </x:c>
      <x:c r="I48" s="34" t="str">
        <x:v>Passed</x:v>
      </x:c>
      <x:c r="J48" s="21" t="str">
        <x:v>81dbcb30-7c37-487d-a8b8-24464b7884ab</x:v>
      </x:c>
      <x:c r="K48" s="21" t="str">
        <x:v>Spell slots PASS — casting consumes the correct slot, unavailable casts are disabled, and rest refresh plus journal output are clear.</x:v>
      </x:c>
    </x:row>
    <x:row r="49" ht="48" customHeight="1">
      <x:c r="A49" s="21" t="str">
        <x:v>Targeting</x:v>
      </x:c>
      <x:c r="B49" s="21" t="str">
        <x:v>Range and line of sight</x:v>
      </x:c>
      <x:c r="C49" s="21" t="str">
        <x:v>CHECK-06</x:v>
      </x:c>
      <x:c r="D49" s="21" t="str"/>
      <x:c r="E49" s="21" t="str">
        <x:v>Checklist mechanic</x:v>
      </x:c>
      <x:c r="F49" s="21" t="str">
        <x:v>Varies</x:v>
      </x:c>
      <x:c r="G49" s="21" t="str">
        <x:v>Actor and cell targets respect range, relation, target count, and line-of-sight rules.</x:v>
      </x:c>
      <x:c r="H49" s="21" t="str">
        <x:v>manual-checklist</x:v>
      </x:c>
      <x:c r="I49" s="34" t="str">
        <x:v>Passed</x:v>
      </x:c>
      <x:c r="J49" s="21" t="str">
        <x:v>81dbcb30-7c37-487d-a8b8-24464b7884ab</x:v>
      </x:c>
      <x:c r="K49" s="21" t="str">
        <x:v>Range/line of sight PASS — out-of-range or unseen targets are rejected with clear reasons; valid targets proceed through the normal roll flow.</x:v>
      </x:c>
    </x:row>
  </x:sheetData>
  <x:mergeCells>
    <x:mergeCell ref="A1:K1"/>
    <x:mergeCell ref="A2:K2"/>
  </x:mergeCells>
  <x:conditionalFormatting sqref="I6:I49">
    <x:cfRule type="containsText" dxfId="24" priority="1" operator="containsText" text="Passed"/>
    <x:cfRule type="containsText" dxfId="25" priority="2" operator="containsText" text="Failed"/>
    <x:cfRule type="containsText" dxfId="26" priority="3" operator="containsText" text="Blocked"/>
    <x:cfRule type="containsText" dxfId="27" priority="4" operator="containsText" text="Needs retest"/>
    <x:cfRule type="containsText" dxfId="28" priority="5" operator="containsText" text="Out of L1 scope"/>
    <x:cfRule type="containsText" dxfId="29" priority="6" operator="containsText" text="Not tested"/>
  </x:conditionalFormatting>
  <x:dataValidations count="1">
    <x:dataValidation type="list" sqref="I6:I49">
      <x:formula1>"Not tested,Passed,Failed,Blocked,Needs retest,Out of L1 scope"</x:formula1>
    </x:dataValidation>
  </x:dataValidations>
  <x:pageMargins left="0.7" right="0.7" top="0.75" bottom="0.75" header="0.3" footer="0.3"/>
  <x:legacyDrawing xmlns:r="http://schemas.openxmlformats.org/officeDocument/2006/relationships" r:id="Rb7f0c846589b4f37"/>
  <x:tableParts count="1">
    <x:tablePart xmlns:r="http://schemas.openxmlformats.org/officeDocument/2006/relationships" r:id="R5e167e407ac14c16"/>
  </x:tableParts>
</x:worksheet>
</file>

<file path=xl/worksheets/sheet6.xml><?xml version="1.0" encoding="utf-8"?>
<x:worksheet xmlns:x="http://schemas.openxmlformats.org/spreadsheetml/2006/main">
  <x:sheetFormatPr defaultRowHeight="15"/>
  <x:cols>
    <x:col min="1" max="1" width="22" hidden="0" customWidth="1"/>
    <x:col min="2" max="2" width="12" hidden="0" customWidth="1"/>
    <x:col min="3" max="3" width="38" hidden="0" customWidth="1"/>
    <x:col min="4" max="4" width="22" hidden="0" customWidth="1"/>
    <x:col min="5" max="5" width="25" hidden="0" customWidth="1"/>
    <x:col min="6" max="6" width="20" hidden="0" customWidth="1"/>
    <x:col min="7" max="7" width="24" hidden="0" customWidth="1"/>
    <x:col min="8" max="8" width="12" hidden="0" customWidth="1"/>
    <x:col min="9" max="9" width="12" hidden="0" customWidth="1"/>
    <x:col min="10" max="10" width="31" hidden="0" customWidth="1"/>
    <x:col min="11" max="11" width="12" hidden="0" customWidth="1"/>
    <x:col min="12" max="12" width="14" hidden="0" customWidth="1"/>
    <x:col min="13" max="13" width="38" hidden="0" customWidth="1"/>
    <x:col min="14" max="14" width="92" hidden="0" customWidth="1"/>
  </x:cols>
  <x:sheetData>
    <x:row r="1" ht="30" customHeight="1">
      <x:c r="A1" s="64" t="str">
        <x:v>Mini-MVP manual testing checklist — Backgrounds</x:v>
      </x:c>
      <x:c r="B1" s="64"/>
      <x:c r="C1" s="64"/>
      <x:c r="D1" s="64"/>
      <x:c r="E1" s="64"/>
      <x:c r="F1" s="64"/>
      <x:c r="G1" s="64"/>
      <x:c r="H1" s="64"/>
      <x:c r="I1" s="64"/>
      <x:c r="J1" s="64"/>
      <x:c r="K1" s="64"/>
      <x:c r="L1" s="64"/>
      <x:c r="M1" s="64"/>
      <x:c r="N1" s="64"/>
    </x:row>
    <x:row r="2" ht="54" customHeight="1">
      <x:c r="A2" s="66" t="str">
        <x:v>Omission closed: all 16 PHB 2024 backgrounds have retained Forge characters. Sheet identity, granted abilities/skills/tools/Origin Feat, and user-facing clarity were inspected; direct combat behavior belongs to the linked Origin Feat and is verified in Feats.</x:v>
      </x:c>
      <x:c r="B2" s="66"/>
      <x:c r="C2" s="66"/>
      <x:c r="D2" s="66"/>
      <x:c r="E2" s="66"/>
      <x:c r="F2" s="66"/>
      <x:c r="G2" s="66"/>
      <x:c r="H2" s="66"/>
      <x:c r="I2" s="66"/>
      <x:c r="J2" s="66"/>
      <x:c r="K2" s="66"/>
      <x:c r="L2" s="66"/>
      <x:c r="M2" s="66"/>
      <x:c r="N2" s="66"/>
    </x:row>
    <x:row r="3">
      <x:c r="A3" s="68" t="str">
        <x:v>Rows</x:v>
      </x:c>
      <x:c r="B3" s="68" t="n">
        <x:v>16</x:v>
      </x:c>
      <x:c r="C3" s="68" t="str">
        <x:v>Passed</x:v>
      </x:c>
      <x:c r="D3" s="68" t="n">
        <x:v>16</x:v>
      </x:c>
      <x:c r="E3" s="68" t="str">
        <x:v>Failed</x:v>
      </x:c>
      <x:c r="F3" s="68" t="n">
        <x:v>0</x:v>
      </x:c>
      <x:c r="G3" s="68" t="str">
        <x:v>Not tested</x:v>
      </x:c>
      <x:c r="H3" s="68" t="n">
        <x:v>0</x:v>
      </x:c>
      <x:c r="I3" s="38"/>
      <x:c r="J3" s="38"/>
      <x:c r="K3" s="38"/>
      <x:c r="L3" s="38"/>
      <x:c r="M3" s="38"/>
      <x:c r="N3" s="38"/>
    </x:row>
    <x:row r="4" ht="28" customHeight="1">
      <x:c r="A4" s="70" t="str">
        <x:v>Background</x:v>
      </x:c>
      <x:c r="B4" s="70" t="str">
        <x:v>Card</x:v>
      </x:c>
      <x:c r="C4" s="70" t="str">
        <x:v>Entity ID</x:v>
      </x:c>
      <x:c r="D4" s="70" t="str">
        <x:v>Ability scores</x:v>
      </x:c>
      <x:c r="E4" s="70" t="str">
        <x:v>Skills</x:v>
      </x:c>
      <x:c r="F4" s="70" t="str">
        <x:v>Tool</x:v>
      </x:c>
      <x:c r="G4" s="70" t="str">
        <x:v>Origin feat</x:v>
      </x:c>
      <x:c r="H4" s="70" t="str">
        <x:v>Forge usage</x:v>
      </x:c>
      <x:c r="I4" s="70" t="str">
        <x:v>Sheet usage</x:v>
      </x:c>
      <x:c r="J4" s="70" t="str">
        <x:v>Combat relevance</x:v>
      </x:c>
      <x:c r="K4" s="70" t="str">
        <x:v>Clarity</x:v>
      </x:c>
      <x:c r="L4" s="70" t="str">
        <x:v>Manual status</x:v>
      </x:c>
      <x:c r="M4" s="70" t="str">
        <x:v>Character ID</x:v>
      </x:c>
      <x:c r="N4" s="70" t="str">
        <x:v>Test notes</x:v>
      </x:c>
    </x:row>
    <x:row r="5" ht="82" customHeight="1">
      <x:c r="A5" s="38" t="str">
        <x:v>Артист</x:v>
      </x:c>
      <x:c r="B5" s="38" t="str">
        <x:v>BG-0001</x:v>
      </x:c>
      <x:c r="C5" s="38" t="str">
        <x:v>f63ca302-2fa2-4e58-b790-3f03429cfa69</x:v>
      </x:c>
      <x:c r="D5" s="38" t="str">
        <x:v>str, dex, cha</x:v>
      </x:c>
      <x:c r="E5" s="38" t="str">
        <x:v>acrobatics, performance</x:v>
      </x:c>
      <x:c r="F5" s="38" t="str">
        <x:v>Выберите один вид Музыкальных инструментов</x:v>
      </x:c>
      <x:c r="G5" s="38" t="str">
        <x:v>FEAT-0007</x:v>
      </x:c>
      <x:c r="H5" s="72" t="str">
        <x:v>Passed</x:v>
      </x:c>
      <x:c r="I5" s="72" t="str">
        <x:v>Passed</x:v>
      </x:c>
      <x:c r="J5" s="38" t="str">
        <x:v>N/A — linked Origin Feat tested separately</x:v>
      </x:c>
      <x:c r="K5" s="72" t="str">
        <x:v>Passed</x:v>
      </x:c>
      <x:c r="L5" s="72" t="str">
        <x:v>Passed</x:v>
      </x:c>
      <x:c r="M5" s="38" t="str">
        <x:v>bee61bb3-6047-4c51-a7d5-beabf7be9837</x:v>
      </x:c>
      <x:c r="N5" s="38" t="str">
        <x:v>PASS — Forge: selected Артист, completed the build and retained character bee61bb3-6047-4c51-a7d5-beabf7be9837.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6" ht="82" customHeight="1">
      <x:c r="A6" s="38" t="str">
        <x:v>Благородный</x:v>
      </x:c>
      <x:c r="B6" s="38" t="str">
        <x:v>BG-0002</x:v>
      </x:c>
      <x:c r="C6" s="38" t="str">
        <x:v>1084c6ac-d70d-4ef3-8cdb-caf9872017e5</x:v>
      </x:c>
      <x:c r="D6" s="38" t="str">
        <x:v>str, int, cha</x:v>
      </x:c>
      <x:c r="E6" s="38" t="str">
        <x:v>history, persuasion</x:v>
      </x:c>
      <x:c r="F6" s="38" t="str">
        <x:v>Выберите один вид Игрового набора</x:v>
      </x:c>
      <x:c r="G6" s="38" t="str">
        <x:v>FEAT-0008</x:v>
      </x:c>
      <x:c r="H6" s="72" t="str">
        <x:v>Passed</x:v>
      </x:c>
      <x:c r="I6" s="72" t="str">
        <x:v>Passed</x:v>
      </x:c>
      <x:c r="J6" s="38" t="str">
        <x:v>N/A — linked Origin Feat tested separately</x:v>
      </x:c>
      <x:c r="K6" s="72" t="str">
        <x:v>Passed</x:v>
      </x:c>
      <x:c r="L6" s="72" t="str">
        <x:v>Passed</x:v>
      </x:c>
      <x:c r="M6" s="38" t="str">
        <x:v>c3674e4e-6f9e-45f5-a93b-b8753e1eaab6</x:v>
      </x:c>
      <x:c r="N6" s="38" t="str">
        <x:v>PASS — Forge: selected Благородный, completed the build and retained character c3674e4e-6f9e-45f5-a93b-b8753e1eaab6.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7" ht="82" customHeight="1">
      <x:c r="A7" s="38" t="str">
        <x:v>Бродяга</x:v>
      </x:c>
      <x:c r="B7" s="38" t="str">
        <x:v>BG-0003</x:v>
      </x:c>
      <x:c r="C7" s="38" t="str">
        <x:v>ddde0222-b594-4bac-8103-d32395c294c2</x:v>
      </x:c>
      <x:c r="D7" s="38" t="str">
        <x:v>dex, wis, cha</x:v>
      </x:c>
      <x:c r="E7" s="38" t="str">
        <x:v>insight, stealth</x:v>
      </x:c>
      <x:c r="F7" s="38" t="str">
        <x:v>Воровские инструменты</x:v>
      </x:c>
      <x:c r="G7" s="38" t="str">
        <x:v>FEAT-0002</x:v>
      </x:c>
      <x:c r="H7" s="72" t="str">
        <x:v>Passed</x:v>
      </x:c>
      <x:c r="I7" s="72" t="str">
        <x:v>Passed</x:v>
      </x:c>
      <x:c r="J7" s="38" t="str">
        <x:v>N/A — linked Origin Feat tested separately</x:v>
      </x:c>
      <x:c r="K7" s="72" t="str">
        <x:v>Passed</x:v>
      </x:c>
      <x:c r="L7" s="72" t="str">
        <x:v>Passed</x:v>
      </x:c>
      <x:c r="M7" s="38" t="str">
        <x:v>d35cb709-898b-4bbe-9666-7d231c0ebad6</x:v>
      </x:c>
      <x:c r="N7" s="38" t="str">
        <x:v>PASS — Forge: selected Бродяга, completed the build and retained character d35cb709-898b-4bbe-9666-7d231c0ebad6.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8" ht="82" customHeight="1">
      <x:c r="A8" s="38" t="str">
        <x:v>Моряк</x:v>
      </x:c>
      <x:c r="B8" s="38" t="str">
        <x:v>BG-0004</x:v>
      </x:c>
      <x:c r="C8" s="38" t="str">
        <x:v>57c2fc4d-0e06-4868-a653-5baaea15563a</x:v>
      </x:c>
      <x:c r="D8" s="38" t="str">
        <x:v>str, dex, wis</x:v>
      </x:c>
      <x:c r="E8" s="38" t="str">
        <x:v>acrobatics, perception</x:v>
      </x:c>
      <x:c r="F8" s="38" t="str">
        <x:v>Инструменты навигатора</x:v>
      </x:c>
      <x:c r="G8" s="38" t="str">
        <x:v>FEAT-0003</x:v>
      </x:c>
      <x:c r="H8" s="72" t="str">
        <x:v>Passed</x:v>
      </x:c>
      <x:c r="I8" s="72" t="str">
        <x:v>Passed</x:v>
      </x:c>
      <x:c r="J8" s="38" t="str">
        <x:v>N/A — linked Origin Feat tested separately</x:v>
      </x:c>
      <x:c r="K8" s="72" t="str">
        <x:v>Passed</x:v>
      </x:c>
      <x:c r="L8" s="72" t="str">
        <x:v>Passed</x:v>
      </x:c>
      <x:c r="M8" s="38" t="str">
        <x:v>0fdc8692-d722-4080-9ebc-47a32891e5bd</x:v>
      </x:c>
      <x:c r="N8" s="38" t="str">
        <x:v>PASS — Forge: selected Моряк, completed the build and retained character 0fdc8692-d722-4080-9ebc-47a32891e5bd.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9" ht="82" customHeight="1">
      <x:c r="A9" s="38" t="str">
        <x:v>Мудрец</x:v>
      </x:c>
      <x:c r="B9" s="38" t="str">
        <x:v>BG-0005</x:v>
      </x:c>
      <x:c r="C9" s="38" t="str">
        <x:v>169eef1a-4572-413c-86ae-4ecdd804c6af</x:v>
      </x:c>
      <x:c r="D9" s="38" t="str">
        <x:v>con, int, wis</x:v>
      </x:c>
      <x:c r="E9" s="38" t="str">
        <x:v>history, arcana</x:v>
      </x:c>
      <x:c r="F9" s="38" t="str">
        <x:v>Инструменты каллиграфа</x:v>
      </x:c>
      <x:c r="G9" s="38" t="str">
        <x:v>FEAT-0009</x:v>
      </x:c>
      <x:c r="H9" s="72" t="str">
        <x:v>Passed</x:v>
      </x:c>
      <x:c r="I9" s="72" t="str">
        <x:v>Passed</x:v>
      </x:c>
      <x:c r="J9" s="38" t="str">
        <x:v>N/A — linked Origin Feat tested separately</x:v>
      </x:c>
      <x:c r="K9" s="72" t="str">
        <x:v>Passed</x:v>
      </x:c>
      <x:c r="L9" s="72" t="str">
        <x:v>Passed</x:v>
      </x:c>
      <x:c r="M9" s="38" t="str">
        <x:v>2e72aa22-e889-4e41-81e6-76080d2a75e2</x:v>
      </x:c>
      <x:c r="N9" s="38" t="str">
        <x:v>PASS — Forge: selected Мудрец, completed the build and retained character 2e72aa22-e889-4e41-81e6-76080d2a75e2.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0" ht="82" customHeight="1">
      <x:c r="A10" s="38" t="str">
        <x:v>Отшельник</x:v>
      </x:c>
      <x:c r="B10" s="38" t="str">
        <x:v>BG-0006</x:v>
      </x:c>
      <x:c r="C10" s="38" t="str">
        <x:v>090600ef-7536-43ef-a285-a03ede11200c</x:v>
      </x:c>
      <x:c r="D10" s="38" t="str">
        <x:v>con, wis, cha</x:v>
      </x:c>
      <x:c r="E10" s="38" t="str">
        <x:v>medicine, religion</x:v>
      </x:c>
      <x:c r="F10" s="38" t="str">
        <x:v>Набор травника</x:v>
      </x:c>
      <x:c r="G10" s="38" t="str">
        <x:v>FEAT-0006</x:v>
      </x:c>
      <x:c r="H10" s="72" t="str">
        <x:v>Passed</x:v>
      </x:c>
      <x:c r="I10" s="72" t="str">
        <x:v>Passed</x:v>
      </x:c>
      <x:c r="J10" s="38" t="str">
        <x:v>N/A — linked Origin Feat tested separately</x:v>
      </x:c>
      <x:c r="K10" s="72" t="str">
        <x:v>Passed</x:v>
      </x:c>
      <x:c r="L10" s="72" t="str">
        <x:v>Passed</x:v>
      </x:c>
      <x:c r="M10" s="38" t="str">
        <x:v>54b1ccd2-83f6-439e-bd85-1725bb713810</x:v>
      </x:c>
      <x:c r="N10" s="38" t="str">
        <x:v>PASS — Forge: selected Отшельник, completed the build and retained character 54b1ccd2-83f6-439e-bd85-1725bb713810.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1" ht="82" customHeight="1">
      <x:c r="A11" s="38" t="str">
        <x:v>Писарь</x:v>
      </x:c>
      <x:c r="B11" s="38" t="str">
        <x:v>BG-0007</x:v>
      </x:c>
      <x:c r="C11" s="38" t="str">
        <x:v>fc0e2f06-8835-42e5-a016-80a1b55fc78f</x:v>
      </x:c>
      <x:c r="D11" s="38" t="str">
        <x:v>dex, int, wis</x:v>
      </x:c>
      <x:c r="E11" s="38" t="str">
        <x:v>perception, investigation</x:v>
      </x:c>
      <x:c r="F11" s="38" t="str">
        <x:v>Инструменты каллиграфа</x:v>
      </x:c>
      <x:c r="G11" s="38" t="str">
        <x:v>FEAT-0008</x:v>
      </x:c>
      <x:c r="H11" s="72" t="str">
        <x:v>Passed</x:v>
      </x:c>
      <x:c r="I11" s="72" t="str">
        <x:v>Passed</x:v>
      </x:c>
      <x:c r="J11" s="38" t="str">
        <x:v>N/A — linked Origin Feat tested separately</x:v>
      </x:c>
      <x:c r="K11" s="72" t="str">
        <x:v>Passed</x:v>
      </x:c>
      <x:c r="L11" s="72" t="str">
        <x:v>Passed</x:v>
      </x:c>
      <x:c r="M11" s="38" t="str">
        <x:v>32c72e48-a920-452d-8f21-cb71bc945362</x:v>
      </x:c>
      <x:c r="N11" s="38" t="str">
        <x:v>PASS — Forge: selected Писарь, completed the build and retained character 32c72e48-a920-452d-8f21-cb71bc945362.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2" ht="82" customHeight="1">
      <x:c r="A12" s="38" t="str">
        <x:v>Преступник</x:v>
      </x:c>
      <x:c r="B12" s="38" t="str">
        <x:v>BG-0008</x:v>
      </x:c>
      <x:c r="C12" s="38" t="str">
        <x:v>a5d6d5a3-31b8-429c-88a3-6f112618a23c</x:v>
      </x:c>
      <x:c r="D12" s="38" t="str">
        <x:v>dex, con, int</x:v>
      </x:c>
      <x:c r="E12" s="38" t="str">
        <x:v>sleight_of_hand, stealth</x:v>
      </x:c>
      <x:c r="F12" s="38" t="str">
        <x:v>Воровские инструменты</x:v>
      </x:c>
      <x:c r="G12" s="38" t="str">
        <x:v>FEAT-0001</x:v>
      </x:c>
      <x:c r="H12" s="72" t="str">
        <x:v>Passed</x:v>
      </x:c>
      <x:c r="I12" s="72" t="str">
        <x:v>Passed</x:v>
      </x:c>
      <x:c r="J12" s="38" t="str">
        <x:v>N/A — linked Origin Feat tested separately</x:v>
      </x:c>
      <x:c r="K12" s="72" t="str">
        <x:v>Passed</x:v>
      </x:c>
      <x:c r="L12" s="72" t="str">
        <x:v>Passed</x:v>
      </x:c>
      <x:c r="M12" s="38" t="str">
        <x:v>c501669d-4c1a-4bf8-9245-8277b7472700</x:v>
      </x:c>
      <x:c r="N12" s="38" t="str">
        <x:v>PASS — Forge: selected Преступник, completed the build and retained character c501669d-4c1a-4bf8-9245-8277b7472700.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3" ht="82" customHeight="1">
      <x:c r="A13" s="38" t="str">
        <x:v>Прислужник</x:v>
      </x:c>
      <x:c r="B13" s="38" t="str">
        <x:v>BG-0009</x:v>
      </x:c>
      <x:c r="C13" s="38" t="str">
        <x:v>7eb8a9bb-c710-42b3-99e3-e74b03b4d7c8</x:v>
      </x:c>
      <x:c r="D13" s="38" t="str">
        <x:v>int, wis, cha</x:v>
      </x:c>
      <x:c r="E13" s="38" t="str">
        <x:v>insight, religion</x:v>
      </x:c>
      <x:c r="F13" s="38" t="str">
        <x:v>Инструменты каллиграфа</x:v>
      </x:c>
      <x:c r="G13" s="38" t="str">
        <x:v>FEAT-0077</x:v>
      </x:c>
      <x:c r="H13" s="72" t="str">
        <x:v>Passed</x:v>
      </x:c>
      <x:c r="I13" s="72" t="str">
        <x:v>Passed</x:v>
      </x:c>
      <x:c r="J13" s="38" t="str">
        <x:v>N/A — linked Origin Feat tested separately</x:v>
      </x:c>
      <x:c r="K13" s="72" t="str">
        <x:v>Passed</x:v>
      </x:c>
      <x:c r="L13" s="72" t="str">
        <x:v>Passed</x:v>
      </x:c>
      <x:c r="M13" s="38" t="str">
        <x:v>a5a4a6f7-253c-405e-bdde-89e95e10564a</x:v>
      </x:c>
      <x:c r="N13" s="38" t="str">
        <x:v>PASS — Forge: selected Прислужник, completed the build and retained character a5a4a6f7-253c-405e-bdde-89e95e10564a.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4" ht="82" customHeight="1">
      <x:c r="A14" s="38" t="str">
        <x:v>Проводник</x:v>
      </x:c>
      <x:c r="B14" s="38" t="str">
        <x:v>BG-0010</x:v>
      </x:c>
      <x:c r="C14" s="38" t="str">
        <x:v>e3505422-e7f8-479b-928e-b5dbbbc694b3</x:v>
      </x:c>
      <x:c r="D14" s="38" t="str">
        <x:v>dex, con, wis</x:v>
      </x:c>
      <x:c r="E14" s="38" t="str">
        <x:v>survival, stealth</x:v>
      </x:c>
      <x:c r="F14" s="38" t="str">
        <x:v>Инструменты картографа</x:v>
      </x:c>
      <x:c r="G14" s="38" t="str">
        <x:v>FEAT-0078</x:v>
      </x:c>
      <x:c r="H14" s="72" t="str">
        <x:v>Passed</x:v>
      </x:c>
      <x:c r="I14" s="72" t="str">
        <x:v>Passed</x:v>
      </x:c>
      <x:c r="J14" s="38" t="str">
        <x:v>N/A — linked Origin Feat tested separately</x:v>
      </x:c>
      <x:c r="K14" s="72" t="str">
        <x:v>Passed</x:v>
      </x:c>
      <x:c r="L14" s="72" t="str">
        <x:v>Passed</x:v>
      </x:c>
      <x:c r="M14" s="38" t="str">
        <x:v>ae8f3549-97a5-4c9d-b1e6-0b169d06d310</x:v>
      </x:c>
      <x:c r="N14" s="38" t="str">
        <x:v>PASS — Forge: selected Проводник, completed the build and retained character ae8f3549-97a5-4c9d-b1e6-0b169d06d310.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5" ht="82" customHeight="1">
      <x:c r="A15" s="38" t="str">
        <x:v>Ремесленник</x:v>
      </x:c>
      <x:c r="B15" s="38" t="str">
        <x:v>BG-0011</x:v>
      </x:c>
      <x:c r="C15" s="38" t="str">
        <x:v>10559b70-2f82-42f1-84a0-7017c1980835</x:v>
      </x:c>
      <x:c r="D15" s="38" t="str">
        <x:v>str, dex, int</x:v>
      </x:c>
      <x:c r="E15" s="38" t="str">
        <x:v>investigation, persuasion</x:v>
      </x:c>
      <x:c r="F15" s="38" t="str">
        <x:v>Выберите один вид Ремесленных инструментов</x:v>
      </x:c>
      <x:c r="G15" s="38" t="str">
        <x:v>FEAT-0010</x:v>
      </x:c>
      <x:c r="H15" s="72" t="str">
        <x:v>Passed</x:v>
      </x:c>
      <x:c r="I15" s="72" t="str">
        <x:v>Passed</x:v>
      </x:c>
      <x:c r="J15" s="38" t="str">
        <x:v>N/A — linked Origin Feat tested separately</x:v>
      </x:c>
      <x:c r="K15" s="72" t="str">
        <x:v>Passed</x:v>
      </x:c>
      <x:c r="L15" s="72" t="str">
        <x:v>Passed</x:v>
      </x:c>
      <x:c r="M15" s="38" t="str">
        <x:v>caa84d74-f90b-47f5-9490-bc1d77b26da0</x:v>
      </x:c>
      <x:c r="N15" s="38" t="str">
        <x:v>PASS — Forge: selected Ремесленник, completed the build and retained character caa84d74-f90b-47f5-9490-bc1d77b26da0.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6" ht="82" customHeight="1">
      <x:c r="A16" s="38" t="str">
        <x:v>Солдат</x:v>
      </x:c>
      <x:c r="B16" s="38" t="str">
        <x:v>BG-0012</x:v>
      </x:c>
      <x:c r="C16" s="38" t="str">
        <x:v>f35e329a-51a4-4b0d-bc3f-edcbfc276f76</x:v>
      </x:c>
      <x:c r="D16" s="38" t="str">
        <x:v>str, dex, con</x:v>
      </x:c>
      <x:c r="E16" s="38" t="str">
        <x:v>athletics, intimidation</x:v>
      </x:c>
      <x:c r="F16" s="38" t="str">
        <x:v>Выберите один вид Игрового набора</x:v>
      </x:c>
      <x:c r="G16" s="38" t="str">
        <x:v>FEAT-0004</x:v>
      </x:c>
      <x:c r="H16" s="72" t="str">
        <x:v>Passed</x:v>
      </x:c>
      <x:c r="I16" s="72" t="str">
        <x:v>Passed</x:v>
      </x:c>
      <x:c r="J16" s="38" t="str">
        <x:v>N/A — linked Origin Feat tested separately</x:v>
      </x:c>
      <x:c r="K16" s="72" t="str">
        <x:v>Passed</x:v>
      </x:c>
      <x:c r="L16" s="72" t="str">
        <x:v>Passed</x:v>
      </x:c>
      <x:c r="M16" s="38" t="str">
        <x:v>84e8c110-bbba-41be-85ef-9165c376d746</x:v>
      </x:c>
      <x:c r="N16" s="38" t="str">
        <x:v>PASS — Forge: selected Солдат, completed the build and retained character 84e8c110-bbba-41be-85ef-9165c376d746.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7" ht="82" customHeight="1">
      <x:c r="A17" s="38" t="str">
        <x:v>Стражник</x:v>
      </x:c>
      <x:c r="B17" s="38" t="str">
        <x:v>BG-0013</x:v>
      </x:c>
      <x:c r="C17" s="38" t="str">
        <x:v>04c222c1-c202-4cbe-aa06-5663a4e36ab5</x:v>
      </x:c>
      <x:c r="D17" s="38" t="str">
        <x:v>str, int, wis</x:v>
      </x:c>
      <x:c r="E17" s="38" t="str">
        <x:v>athletics, perception</x:v>
      </x:c>
      <x:c r="F17" s="38" t="str">
        <x:v>Выберите один вид Игрового набора</x:v>
      </x:c>
      <x:c r="G17" s="38" t="str">
        <x:v>FEAT-0001</x:v>
      </x:c>
      <x:c r="H17" s="72" t="str">
        <x:v>Passed</x:v>
      </x:c>
      <x:c r="I17" s="72" t="str">
        <x:v>Passed</x:v>
      </x:c>
      <x:c r="J17" s="38" t="str">
        <x:v>N/A — linked Origin Feat tested separately</x:v>
      </x:c>
      <x:c r="K17" s="72" t="str">
        <x:v>Passed</x:v>
      </x:c>
      <x:c r="L17" s="72" t="str">
        <x:v>Passed</x:v>
      </x:c>
      <x:c r="M17" s="38" t="str">
        <x:v>2e7c2af9-ed97-4383-b7fe-fadd916eb7b3</x:v>
      </x:c>
      <x:c r="N17" s="38" t="str">
        <x:v>PASS — Forge: selected Стражник, completed the build and retained character 2e7c2af9-ed97-4383-b7fe-fadd916eb7b3.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8" ht="82" customHeight="1">
      <x:c r="A18" s="38" t="str">
        <x:v>Торговец</x:v>
      </x:c>
      <x:c r="B18" s="38" t="str">
        <x:v>BG-0014</x:v>
      </x:c>
      <x:c r="C18" s="38" t="str">
        <x:v>06014c1a-4eaa-406d-9875-220a9bbc5098</x:v>
      </x:c>
      <x:c r="D18" s="38" t="str">
        <x:v>con, int, cha</x:v>
      </x:c>
      <x:c r="E18" s="38" t="str">
        <x:v>persuasion, animal_handling</x:v>
      </x:c>
      <x:c r="F18" s="38" t="str">
        <x:v>Инструменты навигатора</x:v>
      </x:c>
      <x:c r="G18" s="38" t="str">
        <x:v>FEAT-0002</x:v>
      </x:c>
      <x:c r="H18" s="72" t="str">
        <x:v>Passed</x:v>
      </x:c>
      <x:c r="I18" s="72" t="str">
        <x:v>Passed</x:v>
      </x:c>
      <x:c r="J18" s="38" t="str">
        <x:v>N/A — linked Origin Feat tested separately</x:v>
      </x:c>
      <x:c r="K18" s="72" t="str">
        <x:v>Passed</x:v>
      </x:c>
      <x:c r="L18" s="72" t="str">
        <x:v>Passed</x:v>
      </x:c>
      <x:c r="M18" s="38" t="str">
        <x:v>553187f0-8624-4541-b039-4e0d7618bd44</x:v>
      </x:c>
      <x:c r="N18" s="38" t="str">
        <x:v>PASS — Forge: selected Торговец, completed the build and retained character 553187f0-8624-4541-b039-4e0d7618bd44.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19" ht="82" customHeight="1">
      <x:c r="A19" s="38" t="str">
        <x:v>Фермер</x:v>
      </x:c>
      <x:c r="B19" s="38" t="str">
        <x:v>BG-0015</x:v>
      </x:c>
      <x:c r="C19" s="38" t="str">
        <x:v>df6ba1f4-e409-4021-8902-045ff5f37dbd</x:v>
      </x:c>
      <x:c r="D19" s="38" t="str">
        <x:v>str, con, wis</x:v>
      </x:c>
      <x:c r="E19" s="38" t="str">
        <x:v>nature, animal_handling</x:v>
      </x:c>
      <x:c r="F19" s="38" t="str">
        <x:v>Инструменты плотника</x:v>
      </x:c>
      <x:c r="G19" s="38" t="str">
        <x:v>FEAT-0005</x:v>
      </x:c>
      <x:c r="H19" s="72" t="str">
        <x:v>Passed</x:v>
      </x:c>
      <x:c r="I19" s="72" t="str">
        <x:v>Passed</x:v>
      </x:c>
      <x:c r="J19" s="38" t="str">
        <x:v>N/A — linked Origin Feat tested separately</x:v>
      </x:c>
      <x:c r="K19" s="72" t="str">
        <x:v>Passed</x:v>
      </x:c>
      <x:c r="L19" s="72" t="str">
        <x:v>Passed</x:v>
      </x:c>
      <x:c r="M19" s="38" t="str">
        <x:v>18cb9b1a-1cf7-436e-960a-9f3a669e4c0d</x:v>
      </x:c>
      <x:c r="N19" s="38" t="str">
        <x:v>PASS — Forge: selected Фермер, completed the build and retained character 18cb9b1a-1cf7-436e-960a-9f3a669e4c0d.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row r="20" ht="82" customHeight="1">
      <x:c r="A20" s="38" t="str">
        <x:v>Шарлатан</x:v>
      </x:c>
      <x:c r="B20" s="38" t="str">
        <x:v>BG-0016</x:v>
      </x:c>
      <x:c r="C20" s="38" t="str">
        <x:v>c9cea42f-e5cc-4596-b03a-61c2689b7777</x:v>
      </x:c>
      <x:c r="D20" s="38" t="str">
        <x:v>dex, con, cha</x:v>
      </x:c>
      <x:c r="E20" s="38" t="str">
        <x:v>sleight_of_hand, deception</x:v>
      </x:c>
      <x:c r="F20" s="38" t="str">
        <x:v>Набор для фальсификации</x:v>
      </x:c>
      <x:c r="G20" s="38" t="str">
        <x:v>FEAT-0008</x:v>
      </x:c>
      <x:c r="H20" s="72" t="str">
        <x:v>Passed</x:v>
      </x:c>
      <x:c r="I20" s="72" t="str">
        <x:v>Passed</x:v>
      </x:c>
      <x:c r="J20" s="38" t="str">
        <x:v>N/A — linked Origin Feat tested separately</x:v>
      </x:c>
      <x:c r="K20" s="72" t="str">
        <x:v>Passed</x:v>
      </x:c>
      <x:c r="L20" s="72" t="str">
        <x:v>Passed</x:v>
      </x:c>
      <x:c r="M20" s="38" t="str">
        <x:v>97e75249-df39-419a-9363-d9d842150147</x:v>
      </x:c>
      <x:c r="N20" s="38" t="str">
        <x:v>PASS — Forge: selected Шарлатан, completed the build and retained character 97e75249-df39-419a-9363-d9d842150147. Sheet: background identity plus ability-score options, two skill proficiencies, tool proficiency, equipment path and Origin Feat are visible and understandable. Combat: no direct background action; the granted Origin Feat is independently exercised and approved in the Feats tab. Clarity: PASS; no hidden or uncertified blocker.</x:v>
      </x:c>
    </x:row>
  </x:sheetData>
  <x:mergeCells>
    <x:mergeCell ref="A1:N1"/>
    <x:mergeCell ref="A2:N2"/>
  </x:mergeCells>
  <x:pageMargins left="0.7" right="0.7" top="0.75" bottom="0.75" header="0.3" footer="0.3"/>
  <x:legacyDrawing xmlns:r="http://schemas.openxmlformats.org/officeDocument/2006/relationships" r:id="Rec5ccc7cc26e48f8"/>
</x:worksheet>
</file>