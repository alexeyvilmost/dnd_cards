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c350327c04b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e5b0efb05a4eef"/>
    <x:sheet xmlns:r="http://schemas.openxmlformats.org/officeDocument/2006/relationships" name="Weapons" sheetId="2" r:id="Rdec67b29c78f47a2"/>
    <x:sheet xmlns:r="http://schemas.openxmlformats.org/officeDocument/2006/relationships" name="Armor" sheetId="3" r:id="Rd48221a308134f87"/>
    <x:sheet xmlns:r="http://schemas.openxmlformats.org/officeDocument/2006/relationships" name="Consumables" sheetId="4" r:id="R7555e740643e4ccf"/>
    <x:sheet xmlns:r="http://schemas.openxmlformats.org/officeDocument/2006/relationships" name="Combat Gear" sheetId="5" r:id="R19250d961db44047"/>
    <x:sheet xmlns:r="http://schemas.openxmlformats.org/officeDocument/2006/relationships" name="Sheet Gear" sheetId="6" r:id="Raf992aa1745043c2"/>
  </x:sheets>
</x:workbook>
</file>

<file path=xl/comments1.xml><?xml version="1.0" encoding="utf-8"?>
<x:comments xmlns:x="http://schemas.openxmlformats.org/spreadsheetml/2006/main">
  <x:authors>
    <x:author>tc={A7457D3E-EC8D-4279-B9B0-8E7D0E96F6C6}</x:author>
    <x:author>tc={86A91FAD-00CE-4DDA-8ED5-1DC296FFE154}</x:author>
    <x:author>tc={99CAADB2-FD22-42C3-9745-9ADC997268CC}</x:author>
    <x:author>tc={BC59196D-0C9D-4160-904F-2FF5313B1159}</x:author>
    <x:author>tc={AB792D59-D56F-4ECC-9710-6DF146B9F1EC}</x:author>
    <x:author>tc={13E4EAF1-8EC2-48F4-B375-B894B7A31D37}</x:author>
    <x:author>tc={7627EB85-114C-46A7-A5E0-15C99DB734C3}</x:author>
    <x:author>tc={032C5C23-78C0-4A6F-8155-6C67C3DA85F0}</x:author>
    <x:author>tc={695F8D6B-AC4D-4435-9FAC-F0EEDFD76C27}</x:author>
    <x:author>tc={A6AC025A-F54C-45AC-A968-CF0F522FB15F}</x:author>
    <x:author>tc={99363341-545B-478E-83CE-B41E5E4D83E9}</x:author>
    <x:author>tc={3E0F5A77-D781-483B-9174-8C957CD5E4EB}</x:author>
    <x:author>tc={9CF09973-C96B-4CF4-B83D-4166534AEE1B}</x:author>
    <x:author>tc={24374F23-2F9E-4394-B340-3742C3DCEAB5}</x:author>
    <x:author>tc={A3FB3E47-5D46-4A47-8F88-A340FDDAAD77}</x:author>
    <x:author>tc={5B9E5C42-6CFA-4954-A9A7-EFB699356818}</x:author>
    <x:author>tc={4CD9683F-A577-40A9-B3E9-BAF4349A9A0F}</x:author>
    <x:author>tc={95D3365A-FA83-4210-8179-E76317B0D397}</x:author>
    <x:author>tc={8FD08041-3072-4E87-8A97-C9ADFD9FA618}</x:author>
    <x:author>tc={53747DDE-3CB8-4C3C-8D99-B00A64721C17}</x:author>
    <x:author>tc={EA0D00D7-0EAF-45D9-B5DE-619F25BAD963}</x:author>
    <x:author>tc={55C86081-7788-4D69-BFEE-8FCD963C1266}</x:author>
    <x:author>tc={371DBA6F-03C1-4B16-966B-8533682B1279}</x:author>
    <x:author>tc={BC0C7332-4F81-4A42-B8D1-CD85CBA52738}</x:author>
    <x:author>tc={66E052C4-DEA1-4740-A5A3-D1DC92BDEE35}</x:author>
    <x:author>tc={5CB33C9D-E272-4B87-9CA8-263A779A5DD0}</x:author>
    <x:author>tc={78678226-36EE-4626-9C29-1F44A8F69353}</x:author>
    <x:author>tc={17EB7662-A626-4F75-94EC-6C64EBD0E49A}</x:author>
    <x:author>tc={5FEC7559-5607-4EA0-BA42-8974F92D21C7}</x:author>
    <x:author>tc={60DF808A-A022-492C-9CA8-1C8E0A9B6303}</x:author>
    <x:author>tc={9E5FE7D4-EB07-4249-8481-31E087F88B65}</x:author>
    <x:author>tc={0B893D20-F78C-44BD-8E67-4A93DBDEE95B}</x:author>
    <x:author>tc={B693CF60-91ED-4522-97F5-B1780DC0E39E}</x:author>
    <x:author>tc={34BF1A2B-EAEA-4D0A-B951-9B8ADBBE97A7}</x:author>
    <x:author>tc={3C4A66D2-5465-429B-9026-A351A45F4C68}</x:author>
    <x:author>tc={BB86A98A-F3E5-45BF-A2A9-201C4A351A64}</x:author>
    <x:author>tc={F57C733A-E289-4839-B458-B291EC71A580}</x:author>
    <x:author>tc={240F144A-5CD5-4211-92A3-923302808835}</x:author>
    <x:author>tc={72D3E67B-2CCB-4737-AE54-ABA516BAEE0F}</x:author>
    <x:author>tc={1BFAEC24-F9B2-47B5-9656-2A533D5D8576}</x:author>
    <x:author>tc={51A44F28-3722-4FB2-910F-AC48DE03FC12}</x:author>
    <x:author>tc={45874DA4-2434-40B5-8690-9BA785E4122A}</x:author>
    <x:author>tc={3EBFAEAA-B90C-4632-BD43-0C672690B686}</x:author>
    <x:author>tc={4382DDC5-0142-4F46-BA7F-C68D59C9119F}</x:author>
    <x:author>tc={9A6D4900-02F7-4835-AFC1-2A0EDAFD07BF}</x:author>
    <x:author>tc={D0245221-8316-4154-BBCB-748C138F7716}</x:author>
    <x:author>tc={487C14A7-2562-4FAE-B8B4-C452E10F85FF}</x:author>
    <x:author>tc={68389F38-726F-4B39-AA93-B17F4B9B5E8D}</x:author>
    <x:author>tc={2740EB06-05C7-4545-B2C0-971D7DE02DD4}</x:author>
    <x:author>tc={C15B98AE-B3E7-42C4-8E20-2711BD39ABD2}</x:author>
    <x:author>tc={008062C3-87E3-48D3-9217-71DFA5137140}</x:author>
    <x:author>tc={9155BD50-9DDC-4295-9542-4DD57FF31C2F}</x:author>
    <x:author>tc={C8459504-2EC6-40C7-B0CA-433F38FC00AE}</x:author>
    <x:author>tc={88571A18-B5CB-4422-81B1-A6F13D342E54}</x:author>
    <x:author>tc={D41CB76D-98B9-442D-8751-A5383469EFEE}</x:author>
    <x:author>tc={9EAE2254-F369-418F-BBB4-58E86E5E1140}</x:author>
    <x:author>tc={CAFC3094-7E60-40F3-AE7A-D84C7A7B8085}</x:author>
    <x:author>tc={BCEEB5E3-76A0-4BDF-827E-21CE31AA6B8F}</x:author>
    <x:author>tc={A7E40A3A-1DEE-4B49-B827-7C3D9C99C222}</x:author>
    <x:author>tc={7E77B4F3-03FE-43AE-9709-5ABEE86FF725}</x:author>
    <x:author>tc={3AD1DB8E-265E-447F-8090-B774ACE9DE77}</x:author>
    <x:author>tc={93B7196A-73A9-4863-92D4-999CD73D0859}</x:author>
    <x:author>tc={3A340E84-F7B9-42B7-B95E-A1FF7B1F3F9D}</x:author>
    <x:author>tc={70814C71-22E9-460F-A712-0722D9AC8A0B}</x:author>
    <x:author>tc={F44A7A2D-A2BD-4275-9369-B56281C34A0E}</x:author>
    <x:author>tc={9936DD28-81AD-4319-A943-53BE99E645B8}</x:author>
    <x:author>tc={8BB7D819-A4E3-48E3-9344-E8C695187948}</x:author>
    <x:author>tc={0E6F5CEB-DF2B-4611-9220-F364D38F842E}</x:author>
    <x:author>tc={8E751911-9D5D-40A6-A5AB-51C4B8D20E71}</x:author>
    <x:author>tc={AA041C24-0F48-4DDC-A8DE-6A33FD289A84}</x:author>
    <x:author>tc={FD9A2E34-D378-43F9-8FF5-738D5958B912}</x:author>
    <x:author>tc={D6BEEEA5-C0DA-4AE0-866B-E27FA563D08B}</x:author>
    <x:author>tc={B290BDE9-AA2F-4FF4-A5D9-862E3F6E5D3C}</x:author>
    <x:author>tc={426C71A8-7005-41CD-A3D6-A6CC34F433C6}</x:author>
    <x:author>tc={D3F9EB3E-0046-4460-9471-9A0EFF62C76A}</x:author>
    <x:author>tc={4D396F37-1346-43D7-BFE7-704F974E27E2}</x:author>
    <x:author>tc={51194414-473B-455F-B4B0-3265E48DA96B}</x:author>
    <x:author>tc={33BA4B2D-75ED-4DB2-AD2D-BD6744330308}</x:author>
    <x:author>tc={58180A45-6106-4CB3-8A02-795EB1ACF94C}</x:author>
    <x:author>tc={7A98AD83-9F13-4455-8A2A-65440D912FAD}</x:author>
    <x:author>tc={3A3E7A4A-9398-40F3-8FAF-1C38B690C730}</x:author>
    <x:author>tc={A24D09E1-D7EF-42A0-AED0-33611F4A54C2}</x:author>
    <x:author>tc={3B61FCC8-0973-46AE-9193-526E8C091A20}</x:author>
    <x:author>tc={F521F7EE-B87E-4028-8B20-D3539475D3AB}</x:author>
    <x:author>tc={B58A8E91-CA49-4C15-AE24-34C461EA0EBB}</x:author>
    <x:author>tc={11A8842B-6324-4BCB-9AC8-D174C994CEED}</x:author>
    <x:author>tc={75157356-42AD-4E81-AE87-1C1946D4B4B7}</x:author>
    <x:author>tc={4E5243BB-9C86-4CA3-8E0D-816EADC0ADA9}</x:author>
    <x:author>tc={0F41ECD7-1691-492A-A5F6-37E2965E40D6}</x:author>
    <x:author>tc={D762269E-BF0E-4ED7-A6B2-A17ADBE92DCB}</x:author>
    <x:author>tc={D94D64E0-F931-4F5F-8B12-84A15F84DD5F}</x:author>
    <x:author>tc={5C7EFF9E-CBC4-479D-9DF5-80F3A6B628C1}</x:author>
    <x:author>tc={9F52B178-D552-42FF-8017-309A461C8BC5}</x:author>
    <x:author>tc={BC441563-A592-4105-B233-26065362DEEF}</x:author>
    <x:author>tc={3E484004-A044-466D-8D5D-DFD69C47276A}</x:author>
    <x:author>tc={AC32C7FF-EC53-47C0-936A-4FE0398F3FD1}</x:author>
    <x:author>tc={55D202DB-9413-4182-8ED3-7FD11667F029}</x:author>
    <x:author>tc={A138AB22-B06E-44D7-9F12-12DC46833694}</x:author>
    <x:author>tc={E7B5163B-9A97-4E4C-9A7F-5F24834E6131}</x:author>
    <x:author>tc={EE07F988-D878-4340-B1CD-1420518C570A}</x:author>
    <x:author>tc={98A674D9-B2DC-46D0-97A0-4742D16C8AD1}</x:author>
    <x:author>tc={B9CAE681-43CF-4231-AC11-4CC825B07A60}</x:author>
    <x:author>tc={A8BFAAF2-6DFA-4DFC-976A-8C00F4D91FA2}</x:author>
    <x:author>tc={CC09CA19-0FAE-4973-A051-1B628B30EE74}</x:author>
    <x:author>tc={93835DE4-244D-45C3-BB4D-29B30CA64E12}</x:author>
    <x:author>tc={A826D64F-791F-4530-BF35-021ADF7CFA11}</x:author>
    <x:author>tc={3E1E13B1-E4AF-4C2D-A93F-41258F984E22}</x:author>
    <x:author>tc={C7F066A6-2988-45AF-AF64-091A0FC6752C}</x:author>
    <x:author>tc={46C35108-8CA2-4A91-A6C7-C2B273C1650D}</x:author>
    <x:author>tc={27588027-D8FA-412C-96FC-9C5124DADCCA}</x:author>
    <x:author>tc={DF7158C2-9122-4ED1-91EF-4C0662381AA1}</x:author>
    <x:author>tc={42EE2F31-ECAB-4EC1-BF34-3F144A1265A3}</x:author>
    <x:author>tc={67A491E4-0CC0-4A4C-A6A3-0FA67040A808}</x:author>
    <x:author>tc={8B6871D3-2B05-435D-A111-4DC99C328E08}</x:author>
    <x:author>tc={CE3FA19D-F2CB-4A35-82A6-F1B9C04366DB}</x:author>
    <x:author>tc={5DD00A62-D515-47D0-BD4E-2F18D3BF1BD3}</x:author>
    <x:author>tc={7B2BF9B0-E15F-40F4-895D-150C9D1E220D}</x:author>
    <x:author>tc={5A3B731C-2A5E-4151-ACC0-DF82C1E00E34}</x:author>
    <x:author>tc={938987EF-5F7D-4615-A5EC-780961EAA60E}</x:author>
    <x:author>tc={A4B7A9BE-16D3-4080-95F0-63167554A2D0}</x:author>
    <x:author>tc={D7059027-760A-4B53-977C-A3466BBBBA1A}</x:author>
    <x:author>tc={08213D27-3CD7-4EE8-A159-BC1147492D9D}</x:author>
    <x:author>tc={2296B4C1-76EA-4578-A91C-C8B8A95B04EF}</x:author>
    <x:author>tc={8889E306-4A13-4D79-9FB7-F3CA1C5DFCB9}</x:author>
    <x:author>tc={AEF5CFBC-E701-4A66-8055-A54A11AB01B8}</x:author>
    <x:author>tc={674D83D5-CC4F-4C64-9D85-D91B75325D65}</x:author>
    <x:author>tc={3AD4966C-AD14-46E1-BF99-BAAF431C32E1}</x:author>
    <x:author>tc={021C8CF7-EF09-4C97-B648-BE8E1AA253BF}</x:author>
    <x:author>tc={B0E1501B-CEFD-4A67-92A5-07A91E6AA40C}</x:author>
    <x:author>tc={5B744A88-AA40-42EA-A3C6-DDBA4F39F114}</x:author>
    <x:author>tc={1F0DEEA8-2411-43A2-8BD9-58BA5A240138}</x:author>
    <x:author>tc={7B7AC929-B697-4C65-91D9-149BBE797D32}</x:author>
    <x:author>tc={E8A9D00A-784E-447D-AC68-57501A8A4F7B}</x:author>
    <x:author>tc={B35BF724-7038-48D2-90CF-0B24FC1652F7}</x:author>
    <x:author>tc={1FD261E6-C39C-4797-B58B-F8C5B7E5A9DC}</x:author>
    <x:author>tc={218B6A84-8729-498B-8C3D-140167F68199}</x:author>
    <x:author>tc={48CF2F37-769E-4E04-958B-3E8522342743}</x:author>
    <x:author>tc={5D7447C2-369C-44FD-9738-E854EFA84402}</x:author>
    <x:author>tc={7BCD8D72-8294-4785-BFF4-994023CF55A9}</x:author>
    <x:author>tc={D19CA3E8-4826-482D-8C4F-7042F2B22F64}</x:author>
    <x:author>tc={FC40227C-100E-40ED-B73B-03B3572F7960}</x:author>
    <x:author>tc={1A627D8A-B647-45AD-BD56-B6DD64371388}</x:author>
    <x:author>tc={F6E07DBA-D747-4BF0-9E64-40BCE73CF98D}</x:author>
    <x:author>tc={D7775CF0-319C-41AC-A8CB-87223699C11B}</x:author>
    <x:author>tc={C6A00547-D694-42C7-958F-62D856C14500}</x:author>
    <x:author>tc={90B151D6-D61B-4375-A068-7DCFE2E42C4E}</x:author>
    <x:author>tc={F3948B94-C588-4F63-B1E9-1A8B37316D21}</x:author>
    <x:author>tc={3892D731-E786-4834-A7DD-239B30F174A5}</x:author>
    <x:author>tc={3D0C1DAC-2400-48FA-8278-08287B0B08E8}</x:author>
    <x:author>tc={AEB55013-C29B-415F-8C2B-1933085C3F74}</x:author>
    <x:author>tc={835D85CF-0665-4665-A1AA-907B6E841634}</x:author>
    <x:author>tc={338CCE29-C0AF-4403-83C7-02D0DA88491A}</x:author>
    <x:author>tc={E365117E-D847-44D7-9055-85978EFCBEDE}</x:author>
    <x:author>tc={A9152EA0-8DA3-4228-A871-A00ECEE434D1}</x:author>
    <x:author>tc={473A4238-13CE-44CA-8299-C3D767F5D720}</x:author>
    <x:author>tc={55204F51-0572-4732-A371-F061B40F749B}</x:author>
    <x:author>tc={CCF26D67-D2B7-4D16-9F2B-452D7CF2DBD8}</x:author>
    <x:author>tc={5F47D950-7760-4983-B3FB-295855625389}</x:author>
    <x:author>tc={77384B7C-058F-479A-92D3-FCDDA10A0F0C}</x:author>
    <x:author>tc={1C70BA64-B988-456E-AD3F-55554C449E7D}</x:author>
    <x:author>tc={1E15DCFC-18D6-4059-904E-DF1C0B44BF71}</x:author>
    <x:author>tc={5E0A7B53-2B95-4909-9B1D-566C3BC27E9A}</x:author>
    <x:author>tc={99D49B6E-B789-4AF6-B54B-2E3C9ED234E6}</x:author>
    <x:author>tc={2516E192-4CE2-42CB-AC33-359B19F8942F}</x:author>
    <x:author>tc={918F6C01-D235-4AAC-9D0A-C6B7321AA258}</x:author>
    <x:author>tc={0F3D3AB3-B03B-4FB0-BCB2-4F5C0331BD5E}</x:author>
    <x:author>tc={3BF531BC-A387-4F4A-8C1F-E397AB198F4E}</x:author>
    <x:author>tc={EF8CD022-F78A-4A6A-AAB5-34FE9B6AED6D}</x:author>
    <x:author>tc={53EC4D6A-627E-40DF-99AE-0F361D876C6B}</x:author>
    <x:author>tc={04960BD7-8446-4635-A799-CC5A182D4A67}</x:author>
    <x:author>tc={FCBF3CAF-43E8-41B0-8F45-70A9243A7184}</x:author>
    <x:author>tc={F1B444F0-4F96-4DF5-BCC6-CCD05FF83DE2}</x:author>
    <x:author>tc={C4A4E26E-655F-47E0-9983-8A789B3FFF9E}</x:author>
    <x:author>tc={01D87BBE-60B2-45CB-90FC-048D9D2B2CB9}</x:author>
    <x:author>tc={FD3CB1E2-B3C4-44D1-B39C-CAEF94A80AF4}</x:author>
    <x:author>tc={D8A5846A-B92B-4CDC-97BD-BA0E41B9FBDA}</x:author>
    <x:author>tc={F44BAB06-0E06-42CA-BC05-7738A7D25D7E}</x:author>
    <x:author>tc={014EAE33-C219-40B9-8E25-0C1FC3A32078}</x:author>
    <x:author>tc={3F2F5CEA-9884-4AE6-AE49-7EF002007D43}</x:author>
    <x:author>tc={1D74F7D8-7AE3-4DCD-BCB9-159111E37413}</x:author>
    <x:author>tc={A7F6C3B1-786D-4DF1-A018-9A3DC4CDDEF3}</x:author>
    <x:author>tc={51D2D6AC-93D5-46AA-94CA-B7CB61FE1F54}</x:author>
    <x:author>tc={B72FE7E8-658F-4B0F-9DCD-4B12D38BBC2D}</x:author>
    <x:author>tc={D846EF9D-308A-47EE-A9EF-4F463B7CD9FA}</x:author>
    <x:author>tc={5DFFDE75-E270-4FE3-A964-3063408D43B8}</x:author>
    <x:author>tc={748E255F-78AD-44D2-BC0E-15537E46EBB7}</x:author>
    <x:author>tc={102A58E1-D9C5-4C63-A889-BBF36225C57C}</x:author>
    <x:author>tc={9D204960-7157-4E2D-AA93-603FB879AC27}</x:author>
    <x:author>tc={07B37564-2BAF-4E6E-B1CE-D753816DC482}</x:author>
    <x:author>tc={ADF04758-ABF6-44D2-B5A7-3376D8092A47}</x:author>
  </x:authors>
  <x:commentList>
    <x:comment ref="J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7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7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7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8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8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8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8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8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9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9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9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9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9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0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10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10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10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0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1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11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11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11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1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2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12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12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12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2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13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1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13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3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4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14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14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14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4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5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15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15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15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5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6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16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16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16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6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7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17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17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17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7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8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18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18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18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8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9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19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19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19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9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0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20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20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20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0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1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21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21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21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1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2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22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22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22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2" authorId="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3" authorId="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23" authorId="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23" authorId="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23" authorId="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3" authorId="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4" authorId="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24" authorId="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24" authorId="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24" authorId="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4" authorId="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5" authorId="1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25" authorId="1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25" authorId="1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25" authorId="1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5" authorId="1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6" authorId="1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26" authorId="1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26" authorId="1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26" authorId="1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6" authorId="1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7" authorId="1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27" authorId="1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27" authorId="1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27" authorId="1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7" authorId="1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8" authorId="1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28" authorId="1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28" authorId="1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28" authorId="1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8" authorId="1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9" authorId="1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29" authorId="1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29" authorId="1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29" authorId="1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9" authorId="1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30" authorId="1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30" authorId="1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30" authorId="1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30" authorId="1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30" authorId="1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31" authorId="1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31" authorId="1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31" authorId="1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31" authorId="1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31" authorId="1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32" authorId="1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32" authorId="1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32" authorId="1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32" authorId="1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32" authorId="1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33" authorId="1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33" authorId="1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33" authorId="1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33" authorId="1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33" authorId="1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34" authorId="1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34" authorId="1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34" authorId="1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34" authorId="1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34" authorId="1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35" authorId="1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35" authorId="1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35" authorId="1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35" authorId="1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35" authorId="1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36" authorId="1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36" authorId="1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36" authorId="1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36" authorId="1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36" authorId="1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37" authorId="1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37" authorId="1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37" authorId="1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37" authorId="1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37" authorId="1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38" authorId="1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38" authorId="1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38" authorId="1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38" authorId="1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38" authorId="1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39" authorId="1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39" authorId="1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39" authorId="1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39" authorId="1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39" authorId="1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40" authorId="1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40" authorId="1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40" authorId="1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40" authorId="1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40" authorId="1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41" authorId="1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41" authorId="1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41" authorId="1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41" authorId="1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41" authorId="1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42" authorId="1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K42" authorId="1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L42" authorId="1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:t>
        </x:r>
      </x:text>
    </x:comment>
    <x:comment ref="N42" authorId="1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42" authorId="1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</x:commentList>
</x:comments>
</file>

<file path=xl/comments2.xml><?xml version="1.0" encoding="utf-8"?>
<x:comments xmlns:x="http://schemas.openxmlformats.org/spreadsheetml/2006/main">
  <x:authors>
    <x:author>tc={4E558972-780F-4640-93B1-BA8D361A1005}</x:author>
    <x:author>tc={B26B228D-628B-408F-9702-0B92AD3923A4}</x:author>
    <x:author>tc={647AE75B-E0F7-4081-8537-5EA8E17A3EBC}</x:author>
    <x:author>tc={14525B8E-E66F-4AB5-964A-1A70E06AEBD9}</x:author>
    <x:author>tc={ABDA1E9D-6FC8-4009-AE2E-311087D3F495}</x:author>
    <x:author>tc={D90FFCED-8E3B-41EA-A13C-22CCCC03B34B}</x:author>
    <x:author>tc={B7BAFF3E-AE13-4C62-9888-1AC6CABE566C}</x:author>
    <x:author>tc={ED1E5E6B-B3AB-4DC8-A524-F0EFB21C23B3}</x:author>
    <x:author>tc={BFE21436-0F34-45F7-840F-9F9C282193D7}</x:author>
    <x:author>tc={9C94F0C8-6ACA-4784-AFF0-E279E2EFA55E}</x:author>
    <x:author>tc={D2FB135D-1CC6-438D-AB97-38117B93D114}</x:author>
    <x:author>tc={7B16EF01-31D0-4DDE-981C-E1F3B40FB196}</x:author>
    <x:author>tc={00E67427-879F-4639-9240-C27CD3FCD12B}</x:author>
    <x:author>tc={B5D6A57D-9280-40D6-B8D0-400B56A69B4A}</x:author>
    <x:author>tc={83B9D689-B2DD-471F-AAEE-FCFDFA1E2464}</x:author>
    <x:author>tc={0A0EB6F0-F29A-42A0-919F-F99DF3AD9467}</x:author>
    <x:author>tc={79F998B5-05C6-427B-BA4D-7312E7AEDE74}</x:author>
    <x:author>tc={BFA92A88-E5C7-4EE2-81B2-DCBE62BBE8C5}</x:author>
    <x:author>tc={82984137-5D87-4C07-9662-5E93B7D357F8}</x:author>
    <x:author>tc={7EF2C634-AF3B-4EB9-8F25-6C88C90DE982}</x:author>
    <x:author>tc={86F14893-B9AA-4855-A315-DBAD18725E46}</x:author>
    <x:author>tc={C7F18397-08A4-4CF2-9FCA-3B3227475186}</x:author>
    <x:author>tc={700357D4-0465-47F5-94B5-643F202533A2}</x:author>
    <x:author>tc={1071B895-3C97-4E4B-9EA9-823B5BD696EB}</x:author>
    <x:author>tc={341C1BFA-F3B6-42B5-BBB4-A93C398224DC}</x:author>
    <x:author>tc={71873DB6-B839-469B-B786-DE3B6E52238C}</x:author>
    <x:author>tc={A1EE8C0E-AB09-4684-826D-485D1C797CCE}</x:author>
    <x:author>tc={27EBE84A-4ABF-4958-BF19-BB88E0AE500B}</x:author>
    <x:author>tc={43C89B4B-876D-4CED-B100-B419E2D82B38}</x:author>
    <x:author>tc={4C4B1B8C-0F80-4FA0-AD07-9F1E58AA2B5B}</x:author>
    <x:author>tc={32A6168C-0E5F-49D4-8F99-8A0A6DAF7BA4}</x:author>
    <x:author>tc={9A1C9DC4-B462-4F73-8159-DB8FF1AA39EC}</x:author>
    <x:author>tc={C0CCACFB-3DD2-4B1A-AADE-C7BEC372D76D}</x:author>
    <x:author>tc={922653C6-782E-4A65-9426-F824E2877827}</x:author>
    <x:author>tc={A135330E-69D4-4273-911C-F563F517AD34}</x:author>
    <x:author>tc={23270423-E73E-4362-92DA-149A22E9E4BB}</x:author>
    <x:author>tc={F0AD6F7B-088D-46C6-848F-C323814BA1E9}</x:author>
    <x:author>tc={878E3FCD-3C20-4847-8610-641F5E69AC77}</x:author>
    <x:author>tc={DDBC0E7C-2CDB-4503-8909-7327E97D14D4}</x:author>
    <x:author>tc={FE88802F-AB91-469B-9C09-A63A65E90711}</x:author>
    <x:author>tc={9222FCE7-6DC7-4F34-993E-9E8F49375DB7}</x:author>
    <x:author>tc={404769EC-8CD7-46C7-A82C-8B79536B8CE8}</x:author>
    <x:author>tc={2256BCEB-4BE1-478F-B84B-5FF28937DEB5}</x:author>
    <x:author>tc={8A95CC9C-7020-493C-87D6-AB945A20FC96}</x:author>
    <x:author>tc={C7724572-4D88-4A86-AE68-CFA4DD81427A}</x:author>
    <x:author>tc={7C20AD2A-A812-4452-975D-ED72BF749725}</x:author>
    <x:author>tc={736BD9B6-3B6F-4603-8AD0-64266E4A4A3C}</x:author>
    <x:author>tc={F82C3F9F-37F1-4D4E-920B-FD6369BC7E53}</x:author>
    <x:author>tc={262EC1C5-4BEF-4C08-BBCF-3E1D86314A6C}</x:author>
    <x:author>tc={8EC08046-B6D0-48F9-867F-6F6E2A038D47}</x:author>
    <x:author>tc={82AB8383-5F3E-4F8B-8BD5-8D61E6F1C635}</x:author>
    <x:author>tc={938C0979-8116-4C7C-8D60-C1E7FB4079BA}</x:author>
    <x:author>tc={BF13D553-E4EB-4663-BFFB-839FBA174460}</x:author>
    <x:author>tc={9C36F558-F25F-4590-8ABE-2284A55C7E20}</x:author>
    <x:author>tc={E4BCC084-EDC1-4D77-A177-46EC9CCB58A9}</x:author>
    <x:author>tc={EBCFCC73-4499-4829-B971-D249D419F323}</x:author>
    <x:author>tc={7FE14EA2-1400-482A-AC10-1E3DBA59DD55}</x:author>
    <x:author>tc={FC176F34-3600-444F-AA6F-2AE2FB9EDE26}</x:author>
    <x:author>tc={2A38EC55-53E4-4F1B-B828-FD6D0F8A3EBE}</x:author>
    <x:author>tc={8B512DB2-6AE5-473D-A617-49F946A5FB33}</x:author>
    <x:author>tc={8733686C-1B1E-4127-B0DD-AB50D05710B5}</x:author>
    <x:author>tc={B4CA6079-32BC-4F0E-B89A-1A25ADE5568A}</x:author>
    <x:author>tc={AB5D9F32-0C7F-4CFC-B253-AAF709032134}</x:author>
    <x:author>tc={7DE0A5C5-41F5-4627-A8D6-8F491CB0AD2B}</x:author>
    <x:author>tc={03003EE0-6D1D-4FC8-A961-AD2BFB15B873}</x:author>
  </x:authors>
  <x:commentList>
    <x:comment ref="J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K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L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N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K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L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N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7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K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L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N7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7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8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K8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L8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N8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8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9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K9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L9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N9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9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0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K10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L10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N10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0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1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K11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L11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N11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1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2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K12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L12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N12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2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K13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L1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N13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3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4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K14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L14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N14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4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5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K15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L15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N15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5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6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K16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L16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N16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6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7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K17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L17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equip pass: all body armor AC values matched the 2024 formulas (including Defense +1), Shield added +2. Untrained Chain Mail showed speed 20, disabled spells, and 2d20 Strength/Dexterity d20 tests.</x:t>
        </x:r>
      </x:text>
    </x:comment>
    <x:comment ref="N17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7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</x:commentList>
</x:comments>
</file>

<file path=xl/comments3.xml><?xml version="1.0" encoding="utf-8"?>
<x:comments xmlns:x="http://schemas.openxmlformats.org/spreadsheetml/2006/main">
  <x:authors>
    <x:author>tc={8D36D7C1-83E6-4E7A-B7D1-9EA22658A6F4}</x:author>
    <x:author>tc={AFC1A13A-A64D-4CEE-BD45-ED9AC19CB883}</x:author>
    <x:author>tc={88623476-8DEA-49B6-AA4E-272B0C70DCF5}</x:author>
    <x:author>tc={8AAA900C-3EC4-4878-A80D-7BA48EA98175}</x:author>
    <x:author>tc={A27A9811-98C7-41C2-A727-2E438F89F1FD}</x:author>
    <x:author>tc={AA053250-2002-4F95-9C48-4C6CD8EF7655}</x:author>
    <x:author>tc={6BCAF1A5-88CF-4241-8D41-B1DB654BBFE5}</x:author>
    <x:author>tc={48BBBB7F-80AC-42E2-B8FC-A84AF21C7B5D}</x:author>
    <x:author>tc={C0EFD77D-5891-49AF-88E2-F6A66B23BF70}</x:author>
    <x:author>tc={D7A2E2BD-B445-4334-9B84-BC9F554E1623}</x:author>
    <x:author>tc={374E11A6-3B66-4583-941A-E8500B595393}</x:author>
    <x:author>tc={4D683E4D-9866-470D-8644-094DB7A055D5}</x:author>
    <x:author>tc={EFB0E112-BC36-41EC-BF8C-710CE92975C5}</x:author>
    <x:author>tc={F2F1A242-78D5-4740-B260-E50788897E99}</x:author>
    <x:author>tc={FD57E51A-A067-4071-AA8F-7248D39DB852}</x:author>
    <x:author>tc={A8653111-A93D-4E43-8BE8-9EB8B31C482A}</x:author>
    <x:author>tc={F03AAA8D-1035-45D5-AB98-219F476778C8}</x:author>
    <x:author>tc={5206AB9D-F11C-40E4-A9DB-6050769602A8}</x:author>
    <x:author>tc={8E048246-6ECB-4403-A1D4-EBB005AEC481}</x:author>
    <x:author>tc={573C0B3B-3253-40F8-A530-F9689E388772}</x:author>
    <x:author>tc={CEAEFAE7-679F-4665-8A53-1E7C19D65E1A}</x:author>
    <x:author>tc={BFA09338-065E-47B6-B03B-6145F2E25E2F}</x:author>
    <x:author>tc={716BD8CC-06D8-4553-9F6B-8904A408F3DD}</x:author>
    <x:author>tc={FF05F9A1-FFFF-4D7B-A668-48A196D33500}</x:author>
    <x:author>tc={5A10AB86-D3B2-4509-8DA1-6C9AC46DE408}</x:author>
    <x:author>tc={5E2FC904-F04E-481F-B8EB-E1362EB1CC74}</x:author>
    <x:author>tc={5D66CC30-177A-45B4-B4DE-FAC87866FE73}</x:author>
    <x:author>tc={3DDEABB3-0D16-4113-9587-115B8C7715DF}</x:author>
    <x:author>tc={59631E41-612D-44FE-BF8C-7C10E26A35EF}</x:author>
    <x:author>tc={5DA8CE0B-EFB7-4FC9-A379-5E90AD7C4BC5}</x:author>
    <x:author>tc={9251B4E0-9883-4EB1-A4D3-3DEA398B9C01}</x:author>
    <x:author>tc={9853941A-A099-4EDA-9E69-2164149418AE}</x:author>
    <x:author>tc={9FF485B5-AD5F-4346-9D23-7A9B49FD29B9}</x:author>
    <x:author>tc={78B2BAE9-6E86-406C-8D29-CBA514E7F359}</x:author>
    <x:author>tc={0673BF6B-D5FB-451B-9BA4-72361594E040}</x:author>
    <x:author>tc={10BF58B9-61FA-4322-B284-DDD838117EDC}</x:author>
    <x:author>tc={7A6E4F29-711F-4A8B-9501-40314DB66849}</x:author>
    <x:author>tc={A311641B-7A37-4BCD-A5CD-B5BDD2ABFC69}</x:author>
    <x:author>tc={1D968EFE-3A70-444A-9E53-0F82B451B89A}</x:author>
    <x:author>tc={35595991-951E-4070-8CE7-F167FDCAFAD6}</x:author>
  </x:authors>
  <x:commentList>
    <x:comment ref="J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Browser: target save, action and one item consumed (20→19); journal clearly reports the damage interaction.</x:t>
        </x:r>
      </x:text>
    </x:comment>
    <x:comment ref="K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Browser: target save, action and one item consumed (20→19); journal clearly reports the damage interaction.</x:t>
        </x:r>
      </x:text>
    </x:comment>
    <x:comment ref="L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Browser: target save, action and one item consumed (20→19); journal clearly reports the damage interaction.</x:t>
        </x:r>
      </x:text>
    </x:comment>
    <x:comment ref="N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Browser: controlled failed save dealt 4 fire, consumed the item, and created a visible manual-duration burning effect on the target.</x:t>
        </x:r>
      </x:text>
    </x:comment>
    <x:comment ref="K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Browser: controlled failed save dealt 4 fire, consumed the item, and created a visible manual-duration burning effect on the target.</x:t>
        </x:r>
      </x:text>
    </x:comment>
    <x:comment ref="L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Browser: controlled failed save dealt 4 fire, consumed the item, and created a visible manual-duration burning effect on the target.</x:t>
        </x:r>
      </x:text>
    </x:comment>
    <x:comment ref="N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7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Browser: bonus action and one item consumed; one-hour save-advantage effect is visible on the sheet.</x:t>
        </x:r>
      </x:text>
    </x:comment>
    <x:comment ref="K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Browser: bonus action and one item consumed; one-hour save-advantage effect is visible on the sheet.</x:t>
        </x:r>
      </x:text>
    </x:comment>
    <x:comment ref="L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Browser: bonus action and one item consumed; one-hour save-advantage effect is visible on the sheet.</x:t>
        </x:r>
      </x:text>
    </x:comment>
    <x:comment ref="N7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7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8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Browser: selected ally at 0 HP; uses pool initialized at 10, charge spent (8→7 in final pass), target persisted stable=true and dead=false.</x:t>
        </x:r>
      </x:text>
    </x:comment>
    <x:comment ref="K8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Browser: selected ally at 0 HP; uses pool initialized at 10, charge spent (8→7 in final pass), target persisted stable=true and dead=false.</x:t>
        </x:r>
      </x:text>
    </x:comment>
    <x:comment ref="L8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Browser: selected ally at 0 HP; uses pool initialized at 10, charge spent (8→7 in final pass), target persisted stable=true and dead=false.</x:t>
        </x:r>
      </x:text>
    </x:comment>
    <x:comment ref="N8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8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9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Browser: normal character auto-succeeded without a die or damage; action/item spent and journal explains the fiend/undead restriction.</x:t>
        </x:r>
      </x:text>
    </x:comment>
    <x:comment ref="K9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Browser: normal character auto-succeeded without a die or damage; action/item spent and journal explains the fiend/undead restriction.</x:t>
        </x:r>
      </x:text>
    </x:comment>
    <x:comment ref="L9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Browser: normal character auto-succeeded without a die or damage; action/item spent and journal explains the fiend/undead restriction.</x:t>
        </x:r>
      </x:text>
    </x:comment>
    <x:comment ref="N9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9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0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Browser: action/item spent and a visible 5-foot oil-zone effect was created.</x:t>
        </x:r>
      </x:text>
    </x:comment>
    <x:comment ref="K10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Browser: action/item spent and a visible 5-foot oil-zone effect was created.</x:t>
        </x:r>
      </x:text>
    </x:comment>
    <x:comment ref="L10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Browser: action/item spent and a visible 5-foot oil-zone effect was created.</x:t>
        </x:r>
      </x:text>
    </x:comment>
    <x:comment ref="N10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0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1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Browser: bonus action/item spent; visible one-hit weapon damage rider created with a 10-turn limit.</x:t>
        </x:r>
      </x:text>
    </x:comment>
    <x:comment ref="K11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Browser: bonus action/item spent; visible one-hit weapon damage rider created with a 10-turn limit.</x:t>
        </x:r>
      </x:text>
    </x:comment>
    <x:comment ref="L11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Browser: bonus action/item spent; visible one-hit weapon damage rider created with a 10-turn limit.</x:t>
        </x:r>
      </x:text>
    </x:comment>
    <x:comment ref="N11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1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2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Browser: damaged user healed 7→12, potion 12→11, item spent; journal reports 4 HP restored.</x:t>
        </x:r>
      </x:text>
    </x:comment>
    <x:comment ref="K12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Browser: damaged user healed 7→12, potion 12→11, item spent; journal reports 4 HP restored.</x:t>
        </x:r>
      </x:text>
    </x:comment>
    <x:comment ref="L12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Browser: damaged user healed 7→12, potion 12→11, item spent; journal reports 4 HP restored.</x:t>
        </x:r>
      </x:text>
    </x:comment>
    <x:comment ref="N12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2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</x:commentList>
</x:comments>
</file>

<file path=xl/comments4.xml><?xml version="1.0" encoding="utf-8"?>
<x:comments xmlns:x="http://schemas.openxmlformats.org/spreadsheetml/2006/main">
  <x:authors>
    <x:author>tc={3A675A6C-76A6-4A16-80C5-0009196F1444}</x:author>
    <x:author>tc={2B49C5F6-FF68-4988-A820-2A60742889F6}</x:author>
    <x:author>tc={D2EC98D1-71A4-4B33-931C-F8F2864B3A9C}</x:author>
    <x:author>tc={4961FC17-2FA5-4FC1-8B83-7775F553C7EB}</x:author>
    <x:author>tc={BCB172FB-033D-489C-9179-1540D086017D}</x:author>
    <x:author>tc={B4A62DA0-AFFC-4C79-9A4C-373AAFCF27A7}</x:author>
    <x:author>tc={56611057-AAB8-447C-9A19-57DEFA85AC9A}</x:author>
    <x:author>tc={4A4F4B65-EB3D-4D61-BD4E-DECB5DFCB25B}</x:author>
    <x:author>tc={5AF28EAB-1DB1-4776-92D5-0C04DAD7DE47}</x:author>
    <x:author>tc={03BDB195-A2F4-47F3-87EA-D6404B9CBBA4}</x:author>
    <x:author>tc={EBA2289C-9A4B-4BC4-BCD6-C3D13A19F63D}</x:author>
    <x:author>tc={FED196B1-D155-444C-8ED6-C37B9F3D4FA7}</x:author>
    <x:author>tc={1D105B88-F9E7-4D79-A0A8-D0C07DC0B302}</x:author>
    <x:author>tc={9D05E9B0-7DFE-44EE-8932-AC57CDB461D9}</x:author>
    <x:author>tc={E4D49E15-AC62-45A8-B110-93B4FEDF5EBF}</x:author>
    <x:author>tc={0ADB7274-ED89-44C4-8A1C-39A5C09CB683}</x:author>
    <x:author>tc={69BC0BA5-2B14-427A-9199-AE01E17D979F}</x:author>
    <x:author>tc={7D25C2DC-65EF-4C24-AE0F-A5D19F29C807}</x:author>
    <x:author>tc={015ABBB2-56D8-415D-A2E6-2ABD3D2D678A}</x:author>
    <x:author>tc={F88DB3CA-362D-4A72-B8AB-A57BA4BC8F3D}</x:author>
    <x:author>tc={1C3FCAD6-BDC6-4F4F-9CD8-ABF252C684E1}</x:author>
    <x:author>tc={2D816C99-FF5F-42A4-8AA4-298F1FD45AAF}</x:author>
    <x:author>tc={BC65EFE5-F8D1-4C2B-88AA-7E95B7DD4F46}</x:author>
    <x:author>tc={F7C4EB10-5D08-477B-84B2-FE05EBF8F872}</x:author>
    <x:author>tc={F64BEDEC-9B62-4876-AF85-DB573F159AEE}</x:author>
    <x:author>tc={FDD66ECD-584F-425E-9AD3-8ED9C969A690}</x:author>
    <x:author>tc={636518D2-BFC5-4CF6-88E7-631C8A406BD2}</x:author>
    <x:author>tc={B5C0EBA1-BF23-49FE-8601-EB3E2D3AB442}</x:author>
    <x:author>tc={FB83D509-9477-4869-9B68-373549B772E0}</x:author>
    <x:author>tc={5DA5362B-E436-464E-9C78-45EEDCDC5360}</x:author>
    <x:author>tc={80BF9E5E-A7BD-4211-A22F-EC5ACEE6459D}</x:author>
    <x:author>tc={156D71C4-67CF-40D8-A55A-16ACDB9E6330}</x:author>
    <x:author>tc={0F59C83E-0243-4BA4-8B44-0EE978B382E8}</x:author>
    <x:author>tc={77BA6D7D-BB40-42F6-9FB3-2042C67F3A73}</x:author>
    <x:author>tc={9656AF81-E239-4221-B71E-1F6D7419A801}</x:author>
    <x:author>tc={D8801A11-7CF2-43DA-BF61-5AAAFD8EDF96}</x:author>
    <x:author>tc={0FE58E18-40A8-45AA-8B97-DED350C9B8D5}</x:author>
    <x:author>tc={798B3589-9577-4390-A9F2-672B81679E30}</x:author>
    <x:author>tc={61B86A9E-1416-430E-B3E0-216A081D66B2}</x:author>
    <x:author>tc={96970CAF-457E-4EAE-9112-CE8623AE67A4}</x:author>
    <x:author>tc={30579AFA-FD60-45C1-8DF3-CCF0EE18AA6B}</x:author>
    <x:author>tc={1F2DED96-2CE0-456E-8307-01DA59D3CF6B}</x:author>
    <x:author>tc={6728D402-987B-41FF-AC37-2F59DA403963}</x:author>
    <x:author>tc={45E4BA13-9201-4D41-9506-0309BFCB6D0D}</x:author>
    <x:author>tc={C36254BC-B2C8-42C3-89B3-43D3DE26B92A}</x:author>
    <x:author>tc={AEF745A9-C9B8-42C0-B3A0-709E0C45B74F}</x:author>
    <x:author>tc={CFCC116E-0069-4B9B-9633-B2218061F80A}</x:author>
    <x:author>tc={C7CB4C0A-BF27-42AF-9D50-AE692905424F}</x:author>
    <x:author>tc={4D3A0772-68C6-4240-89BA-E61F90284711}</x:author>
    <x:author>tc={E2975DF1-5C6D-426E-AA6A-0817458EFED6}</x:author>
    <x:author>tc={50850AD6-A957-42C4-AD0F-378BC9E02537}</x:author>
    <x:author>tc={A9CE7190-2847-43A5-A621-601715942867}</x:author>
    <x:author>tc={1A3A1697-A799-43E0-833A-5E04F936B6FB}</x:author>
    <x:author>tc={D2941C1E-1EA9-4F95-A050-FD396BB49436}</x:author>
    <x:author>tc={4A56F09D-1AD9-44BF-B11F-BCADF4EB493F}</x:author>
    <x:author>tc={BD3F05D4-52C7-4E14-A8D7-CEB0C87E5B92}</x:author>
    <x:author>tc={88DD4D14-F6A9-438E-889A-3E3F9D4D4FC5}</x:author>
    <x:author>tc={26D1CD86-1A36-4124-9251-19DB77EEB8C3}</x:author>
    <x:author>tc={A09DCD16-45DD-4CAB-A61A-4F2252B5084E}</x:author>
    <x:author>tc={47A5BFE4-7D11-4460-A045-3C6A8BAAE4E8}</x:author>
    <x:author>tc={D7CCCD1E-9B39-42D6-AABB-2BDC48E0F25C}</x:author>
    <x:author>tc={337D2004-2AB6-43DB-9DDA-6AA593120C50}</x:author>
    <x:author>tc={C111C67F-FBF4-41B3-AD1B-B0C0D792B048}</x:author>
    <x:author>tc={C0D66A91-5C20-4F87-9EB0-647C2A838816}</x:author>
    <x:author>tc={E1B27EEE-867E-404B-A5F4-30122A975026}</x:author>
    <x:author>tc={68F81082-466F-4E04-8BC0-6D57A0A30AD5}</x:author>
    <x:author>tc={61B06870-E129-4E8B-8D17-F7AC4B55C662}</x:author>
    <x:author>tc={6A8124F6-ECAA-4054-BEAA-552A3AAED0F3}</x:author>
    <x:author>tc={804006EA-36BA-433A-B06C-E6AE96B6C267}</x:author>
    <x:author>tc={F7C6349B-DDB9-41D1-B192-090899908146}</x:author>
    <x:author>tc={DD6E9127-F35E-49A9-862F-8696412CA278}</x:author>
    <x:author>tc={2DC08D68-BDE0-4D5D-A2BB-3D290C00B07E}</x:author>
    <x:author>tc={0F3C48F6-0616-49EF-B6C4-07B0AEE3C9ED}</x:author>
    <x:author>tc={0648470E-4F14-404B-BAA0-3C186FC5FCCC}</x:author>
    <x:author>tc={839BF231-89B5-45DF-8CEF-3AAA7D421C49}</x:author>
    <x:author>tc={461C2582-3ED8-4C88-84BF-B59AAE48988F}</x:author>
    <x:author>tc={9C73B5AF-14F5-4DA5-8667-9F8A55304923}</x:author>
    <x:author>tc={B3136961-6110-42C6-8334-11E529C6B225}</x:author>
    <x:author>tc={35B568AC-3CB1-40D1-BF73-3AAA69262B82}</x:author>
    <x:author>tc={FD24DB2F-1ACE-41F7-81D2-D4FAAA3D8C01}</x:author>
    <x:author>tc={0E3DE717-1B91-4846-8DD1-BBA9D6F4AB31}</x:author>
    <x:author>tc={4AB5A238-FF14-4CC2-8783-5E421DB5ECDF}</x:author>
    <x:author>tc={15930D40-B043-4175-A617-D9D234C17AE9}</x:author>
    <x:author>tc={4CE94981-B0E6-4F6A-8DFF-965690FA8770}</x:author>
    <x:author>tc={3D1DC7CF-5B38-418B-9D82-E14962BAA0E9}</x:author>
  </x:authors>
  <x:commentList>
    <x:comment ref="J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Exact ammunition card is linked by the weapon profile; sheet detail and quantity are visible, and the shared ranged-attack executor consumes the bound inventory card.</x:t>
        </x:r>
      </x:text>
    </x:comment>
    <x:comment ref="K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Exact ammunition card is linked by the weapon profile; sheet detail and quantity are visible, and the shared ranged-attack executor consumes the bound inventory card.</x:t>
        </x:r>
      </x:text>
    </x:comment>
    <x:comment ref="L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Exact ammunition card is linked by the weapon profile; sheet detail and quantity are visible, and the shared ranged-attack executor consumes the bound inventory card.</x:t>
        </x:r>
      </x:text>
    </x:comment>
    <x:comment ref="N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Exact ammunition card is linked by the weapon profile; sheet detail and quantity are visible, and the shared ranged-attack executor consumes the bound inventory card.</x:t>
        </x:r>
      </x:text>
    </x:comment>
    <x:comment ref="K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Exact ammunition card is linked by the weapon profile; sheet detail and quantity are visible, and the shared ranged-attack executor consumes the bound inventory card.</x:t>
        </x:r>
      </x:text>
    </x:comment>
    <x:comment ref="L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Exact ammunition card is linked by the weapon profile; sheet detail and quantity are visible, and the shared ranged-attack executor consumes the bound inventory card.</x:t>
        </x:r>
      </x:text>
    </x:comment>
    <x:comment ref="N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7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Exact ammunition card is linked by the weapon profile; sheet detail and quantity are visible, and the shared ranged-attack executor consumes the bound inventory card.</x:t>
        </x:r>
      </x:text>
    </x:comment>
    <x:comment ref="K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Exact ammunition card is linked by the weapon profile; sheet detail and quantity are visible, and the shared ranged-attack executor consumes the bound inventory card.</x:t>
        </x:r>
      </x:text>
    </x:comment>
    <x:comment ref="L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Exact ammunition card is linked by the weapon profile; sheet detail and quantity are visible, and the shared ranged-attack executor consumes the bound inventory card.</x:t>
        </x:r>
      </x:text>
    </x:comment>
    <x:comment ref="N7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7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8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Exact ammunition card is linked by the weapon profile; sheet detail and quantity are visible, and the shared ranged-attack executor consumes the bound inventory card.</x:t>
        </x:r>
      </x:text>
    </x:comment>
    <x:comment ref="K8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Exact ammunition card is linked by the weapon profile; sheet detail and quantity are visible, and the shared ranged-attack executor consumes the bound inventory card.</x:t>
        </x:r>
      </x:text>
    </x:comment>
    <x:comment ref="L8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Exact ammunition card is linked by the weapon profile; sheet detail and quantity are visible, and the shared ranged-attack executor consumes the bound inventory card.</x:t>
        </x:r>
      </x:text>
    </x:comment>
    <x:comment ref="N8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8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9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Exact ammunition card is linked by the weapon profile; sheet detail and quantity are visible, and the shared ranged-attack executor consumes the bound inventory card.</x:t>
        </x:r>
      </x:text>
    </x:comment>
    <x:comment ref="K9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Exact ammunition card is linked by the weapon profile; sheet detail and quantity are visible, and the shared ranged-attack executor consumes the bound inventory card.</x:t>
        </x:r>
      </x:text>
    </x:comment>
    <x:comment ref="L9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Exact ammunition card is linked by the weapon profile; sheet detail and quantity are visible, and the shared ranged-attack executor consumes the bound inventory card.</x:t>
        </x:r>
      </x:text>
    </x:comment>
    <x:comment ref="N9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9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0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Browser production pass completed without runtime errors. The result is represented by a visible zone/effect or an immediate journal entry according to the item rule.</x:t>
        </x:r>
      </x:text>
    </x:comment>
    <x:comment ref="K10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Browser production pass completed without runtime errors. The result is represented by a visible zone/effect or an immediate journal entry according to the item rule.</x:t>
        </x:r>
      </x:text>
    </x:comment>
    <x:comment ref="L10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Browser production pass completed without runtime errors. The result is represented by a visible zone/effect or an immediate journal entry according to the item rule.</x:t>
        </x:r>
      </x:text>
    </x:comment>
    <x:comment ref="N10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0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1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Browser production pass completed without runtime errors. The result is represented by a visible zone/effect or an immediate journal entry according to the item rule.</x:t>
        </x:r>
      </x:text>
    </x:comment>
    <x:comment ref="K11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Browser production pass completed without runtime errors. The result is represented by a visible zone/effect or an immediate journal entry according to the item rule.</x:t>
        </x:r>
      </x:text>
    </x:comment>
    <x:comment ref="L11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Browser production pass completed without runtime errors. The result is represented by a visible zone/effect or an immediate journal entry according to the item rule.</x:t>
        </x:r>
      </x:text>
    </x:comment>
    <x:comment ref="N11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1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2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Browser production pass completed without runtime errors. The result is represented by a visible zone/effect or an immediate journal entry according to the item rule.</x:t>
        </x:r>
      </x:text>
    </x:comment>
    <x:comment ref="K12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Browser production pass completed without runtime errors. The result is represented by a visible zone/effect or an immediate journal entry according to the item rule.</x:t>
        </x:r>
      </x:text>
    </x:comment>
    <x:comment ref="L12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Browser production pass completed without runtime errors. The result is represented by a visible zone/effect or an immediate journal entry according to the item rule.</x:t>
        </x:r>
      </x:text>
    </x:comment>
    <x:comment ref="N12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2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Browser production pass completed without runtime errors. The result is represented by a visible zone/effect or an immediate journal entry according to the item rule.</x:t>
        </x:r>
      </x:text>
    </x:comment>
    <x:comment ref="K13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Browser production pass completed without runtime errors. The result is represented by a visible zone/effect or an immediate journal entry according to the item rule.</x:t>
        </x:r>
      </x:text>
    </x:comment>
    <x:comment ref="L1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Browser production pass completed without runtime errors. The result is represented by a visible zone/effect or an immediate journal entry according to the item rule.</x:t>
        </x:r>
      </x:text>
    </x:comment>
    <x:comment ref="N13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3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4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Browser production pass completed without runtime errors. The result is represented by a visible zone/effect or an immediate journal entry according to the item rule.</x:t>
        </x:r>
      </x:text>
    </x:comment>
    <x:comment ref="K14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Browser production pass completed without runtime errors. The result is represented by a visible zone/effect or an immediate journal entry according to the item rule.</x:t>
        </x:r>
      </x:text>
    </x:comment>
    <x:comment ref="L14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Browser production pass completed without runtime errors. The result is represented by a visible zone/effect or an immediate journal entry according to the item rule.</x:t>
        </x:r>
      </x:text>
    </x:comment>
    <x:comment ref="N14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4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5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Browser production pass completed without runtime errors. The result is represented by a visible zone/effect or an immediate journal entry according to the item rule.</x:t>
        </x:r>
      </x:text>
    </x:comment>
    <x:comment ref="K15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Browser production pass completed without runtime errors. The result is represented by a visible zone/effect or an immediate journal entry according to the item rule.</x:t>
        </x:r>
      </x:text>
    </x:comment>
    <x:comment ref="L15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Browser production pass completed without runtime errors. The result is represented by a visible zone/effect or an immediate journal entry according to the item rule.</x:t>
        </x:r>
      </x:text>
    </x:comment>
    <x:comment ref="N15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5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6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Browser production pass completed without runtime errors. The result is represented by a visible zone/effect or an immediate journal entry according to the item rule.</x:t>
        </x:r>
      </x:text>
    </x:comment>
    <x:comment ref="K16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Browser production pass completed without runtime errors. The result is represented by a visible zone/effect or an immediate journal entry according to the item rule.</x:t>
        </x:r>
      </x:text>
    </x:comment>
    <x:comment ref="L16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Browser production pass completed without runtime errors. The result is represented by a visible zone/effect or an immediate journal entry according to the item rule.</x:t>
        </x:r>
      </x:text>
    </x:comment>
    <x:comment ref="N16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6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7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Browser production pass completed without runtime errors. The result is represented by a visible zone/effect or an immediate journal entry according to the item rule.</x:t>
        </x:r>
      </x:text>
    </x:comment>
    <x:comment ref="K17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Browser production pass completed without runtime errors. The result is represented by a visible zone/effect or an immediate journal entry according to the item rule.</x:t>
        </x:r>
      </x:text>
    </x:comment>
    <x:comment ref="L17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Browser production pass completed without runtime errors. The result is represented by a visible zone/effect or an immediate journal entry according to the item rule.</x:t>
        </x:r>
      </x:text>
    </x:comment>
    <x:comment ref="N17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7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8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Browser: target rolled Dexterity 2+2=4 and failed; target sheet visibly shows Опутанный with source Сеть.</x:t>
        </x:r>
      </x:text>
    </x:comment>
    <x:comment ref="K18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Browser: target rolled Dexterity 2+2=4 and failed; target sheet visibly shows Опутанный with source Сеть.</x:t>
        </x:r>
      </x:text>
    </x:comment>
    <x:comment ref="L18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Browser: target rolled Dexterity 2+2=4 and failed; target sheet visibly shows Опутанный with source Сеть.</x:t>
        </x:r>
      </x:text>
    </x:comment>
    <x:comment ref="N18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8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9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Browser production pass completed without runtime errors. The result is represented by a visible zone/effect or an immediate journal entry according to the item rule.</x:t>
        </x:r>
      </x:text>
    </x:comment>
    <x:comment ref="K19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Browser production pass completed without runtime errors. The result is represented by a visible zone/effect or an immediate journal entry according to the item rule.</x:t>
        </x:r>
      </x:text>
    </x:comment>
    <x:comment ref="L19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Browser production pass completed without runtime errors. The result is represented by a visible zone/effect or an immediate journal entry according to the item rule.</x:t>
        </x:r>
      </x:text>
    </x:comment>
    <x:comment ref="N19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9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0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Browser production pass completed without runtime errors. The result is represented by a visible zone/effect or an immediate journal entry according to the item rule.</x:t>
        </x:r>
      </x:text>
    </x:comment>
    <x:comment ref="K20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Browser production pass completed without runtime errors. The result is represented by a visible zone/effect or an immediate journal entry according to the item rule.</x:t>
        </x:r>
      </x:text>
    </x:comment>
    <x:comment ref="L20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Browser production pass completed without runtime errors. The result is represented by a visible zone/effect or an immediate journal entry according to the item rule.</x:t>
        </x:r>
      </x:text>
    </x:comment>
    <x:comment ref="N20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0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1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Browser production pass completed without runtime errors. The result is represented by a visible zone/effect or an immediate journal entry according to the item rule.</x:t>
        </x:r>
      </x:text>
    </x:comment>
    <x:comment ref="K21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Browser production pass completed without runtime errors. The result is represented by a visible zone/effect or an immediate journal entry according to the item rule.</x:t>
        </x:r>
      </x:text>
    </x:comment>
    <x:comment ref="L21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Browser production pass completed without runtime errors. The result is represented by a visible zone/effect or an immediate journal entry according to the item rule.</x:t>
        </x:r>
      </x:text>
    </x:comment>
    <x:comment ref="N21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1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</x:commentList>
</x:comments>
</file>

<file path=xl/comments5.xml><?xml version="1.0" encoding="utf-8"?>
<x:comments xmlns:x="http://schemas.openxmlformats.org/spreadsheetml/2006/main">
  <x:authors>
    <x:author>tc={038DB65D-B36E-4D16-9845-C9F124C8D01D}</x:author>
    <x:author>tc={5469AB42-6B1F-4040-90BC-DB08E5EC7E97}</x:author>
    <x:author>tc={2706EF1E-95B5-42B5-A732-835552FF2447}</x:author>
    <x:author>tc={DFB5969A-0CBF-41AE-8096-379B63DCB7FA}</x:author>
    <x:author>tc={2FD50A9E-1293-46F0-997D-5DB9C0A62967}</x:author>
    <x:author>tc={B0864E8B-C626-42DC-8F7B-119D2FA5BEB1}</x:author>
    <x:author>tc={E4AA01EC-332E-4199-894A-E408C760C8F5}</x:author>
    <x:author>tc={3AE50D5F-26E9-4FD3-8236-C2B8B0146E4E}</x:author>
    <x:author>tc={CBF49AE8-0E30-479E-B6D6-EDAA31A85D92}</x:author>
    <x:author>tc={C2EE1DD9-5A54-4D26-BBBE-551011D6C58C}</x:author>
    <x:author>tc={9E082387-F081-4CCB-A287-255B8503555D}</x:author>
    <x:author>tc={EC5EE0B8-6A73-47FC-8A67-78B14CE4829D}</x:author>
    <x:author>tc={410B010C-FAFB-478B-A798-7E34897771A8}</x:author>
    <x:author>tc={58A62AAF-068C-4E21-B471-1573B2C2C9E2}</x:author>
    <x:author>tc={75030D5F-3696-4D24-BAD5-8769147CCFA7}</x:author>
    <x:author>tc={B67C2AC7-8746-4BE3-B27B-9483CC7838C4}</x:author>
    <x:author>tc={7DED42E6-A8AC-400A-8CE0-CE03BCB2F73B}</x:author>
    <x:author>tc={1391C690-BFC3-4C3B-8A80-E1025545B186}</x:author>
    <x:author>tc={25C007E0-A24C-49F5-9A87-ED2D08632D8D}</x:author>
    <x:author>tc={68AF31E1-DFFB-439E-9B61-90E32F51F55C}</x:author>
    <x:author>tc={9BE3C427-0F80-4802-AF1A-C6200546D0E6}</x:author>
    <x:author>tc={E489364C-D7E2-4E10-8859-1DAC09A33762}</x:author>
    <x:author>tc={E050CB32-201B-4384-A544-CDDC1CACF670}</x:author>
    <x:author>tc={2D800265-59EF-4530-9E83-16773535A475}</x:author>
    <x:author>tc={3888573F-AB95-482F-B199-B0DE8B9051AF}</x:author>
    <x:author>tc={8A01016E-D5ED-42CE-891D-4ABB9004719D}</x:author>
    <x:author>tc={F28281A3-7C05-4A24-ADE6-62A3B3ABC2A2}</x:author>
    <x:author>tc={7738AB87-A38C-45C6-95F9-8C2DE54CBBE0}</x:author>
    <x:author>tc={42C89FE9-BF90-4F58-B338-560B667ABCF6}</x:author>
    <x:author>tc={EB936C33-D316-4FB4-8A43-ADAB0CD9C977}</x:author>
    <x:author>tc={F0C18CB1-34C0-455C-92F6-D4ED46EE37D1}</x:author>
    <x:author>tc={116ADC36-2610-4165-88B3-C0982DEC6691}</x:author>
    <x:author>tc={97C9CC00-1F23-43DD-B681-544ECC225876}</x:author>
    <x:author>tc={36D45B4C-402C-4EC7-B8D0-CD747DD1C453}</x:author>
    <x:author>tc={C10CB950-4E95-4472-9DA1-E8F58669A48E}</x:author>
    <x:author>tc={87C2B4B0-EBAE-4BFD-B57A-0F0896D61F52}</x:author>
    <x:author>tc={E3FC9FE7-98CA-430D-B943-D941440EA114}</x:author>
    <x:author>tc={E02FDAAF-DF4F-449A-94A3-6B02F86DCDD7}</x:author>
    <x:author>tc={89F0261C-711F-411A-BBED-265BFD77A41E}</x:author>
    <x:author>tc={27185CE6-FE20-4524-A0C5-ED48E353480A}</x:author>
    <x:author>tc={48965AC3-53DD-46AF-B186-6D52BD186AA1}</x:author>
    <x:author>tc={3086C05E-74BB-456D-BFE9-F45BEFD9EBB3}</x:author>
    <x:author>tc={B1C030B9-A188-4EAD-9C33-3FF8F3AB4517}</x:author>
    <x:author>tc={9CCCDE84-4160-4034-AA3F-6B335EF1E6B2}</x:author>
    <x:author>tc={32D16ADF-52E2-4C5D-86F9-56CDE9BD6FA8}</x:author>
    <x:author>tc={511583F9-7498-4472-9AB1-5100D76E8B56}</x:author>
    <x:author>tc={3A9076DB-A178-4A3F-86EA-C73C66E52011}</x:author>
    <x:author>tc={1C869595-3EB6-48EE-B0B1-DB6B5BCD7372}</x:author>
    <x:author>tc={09CFE49E-D692-4F88-ACC1-484F7CA11DE1}</x:author>
    <x:author>tc={9AE44DCC-BA1E-475C-9501-B43AD90F33D6}</x:author>
    <x:author>tc={E3BDD267-28DC-406A-A8AF-95467B1E3EE4}</x:author>
    <x:author>tc={636B2176-DF11-404D-BDAE-BA3C98704325}</x:author>
    <x:author>tc={0E953CDF-FBE4-4F94-BC79-B3F75A87B3E7}</x:author>
    <x:author>tc={E7F88FA2-E69B-41C2-A5E6-96182BB545ED}</x:author>
    <x:author>tc={169CB5DF-741A-4852-A796-3CA94FA3A10E}</x:author>
    <x:author>tc={2514D264-2448-4A20-AB3D-99AF7D4D0E0E}</x:author>
    <x:author>tc={01F142F5-3000-4A16-AB3C-596AC6F6C79D}</x:author>
    <x:author>tc={1968FFEB-41E2-42FF-A056-BB60631D4BA6}</x:author>
    <x:author>tc={1319D445-1EB8-4FF9-B581-A88CF6F86CF8}</x:author>
    <x:author>tc={682F0217-C03A-4AC2-9194-57C70EF3D4B9}</x:author>
    <x:author>tc={C93B09DD-0771-48AD-8DF2-229BE39CC261}</x:author>
    <x:author>tc={7CDC45E8-5058-4A39-9ADA-532FBC99DDFA}</x:author>
    <x:author>tc={AFA3A975-153B-46E3-923D-E0614CDA40A5}</x:author>
    <x:author>tc={19CF9E4F-9D1E-4D98-9A95-AF6B705663C6}</x:author>
    <x:author>tc={F5EF3731-5008-4871-AFDE-BD179FAB4A15}</x:author>
    <x:author>tc={83A0518D-0094-465A-BED0-70845D86D95F}</x:author>
    <x:author>tc={EAC198AC-AFA8-4CB1-873B-BC9FD181A76B}</x:author>
    <x:author>tc={C1AC03AD-799D-4576-98C8-A58ED60F2943}</x:author>
    <x:author>tc={FE60F743-D47B-4C67-B1EB-7289A58E58A6}</x:author>
    <x:author>tc={B488406C-57F7-47DC-8577-50720B2EB15E}</x:author>
    <x:author>tc={C226FEF1-2FDC-4F42-AE63-C35C712F7D72}</x:author>
    <x:author>tc={D1DB000B-13E8-4B0A-B995-FC1BF98C6BEA}</x:author>
    <x:author>tc={F65E9D92-EBB5-49A7-9EA4-9ADDBE7AB23C}</x:author>
    <x:author>tc={9629EAB0-ACCE-45AF-BFE1-42A72C9ED701}</x:author>
    <x:author>tc={F0E656ED-86F8-4A46-9043-7757855CF443}</x:author>
    <x:author>tc={CD575C20-9418-49EC-9636-D6912A440379}</x:author>
    <x:author>tc={58290CEB-CAC9-489D-A2A1-5072CDAC4473}</x:author>
    <x:author>tc={8AAC9283-2477-4CCB-83D3-F8FFC5BE185B}</x:author>
    <x:author>tc={2658484C-EF3E-4696-9AA3-87A6C0024E0E}</x:author>
    <x:author>tc={13F9A431-E8AD-48D1-A08A-128CB780DC23}</x:author>
    <x:author>tc={9751C0A4-8DA6-4B61-B258-E10A9E870609}</x:author>
    <x:author>tc={62596478-1371-4D94-9EAA-3911018D25FB}</x:author>
    <x:author>tc={7D0C11B1-7B5E-4EA4-B4E8-9E0A34A82568}</x:author>
    <x:author>tc={77393B1F-2F0F-4A57-836A-899A0916B91E}</x:author>
    <x:author>tc={4276B72A-7B91-4D43-9832-4A7C3FDF6FDB}</x:author>
    <x:author>tc={7F163B11-2F37-4529-9069-FE57669CBC42}</x:author>
    <x:author>tc={57FC20F1-38C6-4915-98D6-84F60662623F}</x:author>
    <x:author>tc={CD4AD65E-22B6-4A2E-9DE6-B9905B0A12B6}</x:author>
    <x:author>tc={F9C66074-B36E-43EE-A8EE-C413DC3045B8}</x:author>
    <x:author>tc={C66396AB-61B2-4C54-AFCA-34726B99C6EA}</x:author>
    <x:author>tc={3177956E-A555-4E8F-B65E-46AD5A954853}</x:author>
    <x:author>tc={ADCEDD58-19A6-4382-A220-D1FC130EE9AF}</x:author>
    <x:author>tc={855EBCF4-797B-482F-A122-DEBDA6BA7C16}</x:author>
    <x:author>tc={F8B7A4F1-3B45-4CD0-A21B-31D62272DF14}</x:author>
    <x:author>tc={867768EF-53FA-4EBD-A52B-679227623D77}</x:author>
    <x:author>tc={EB8F6005-D57A-4BC4-92DB-219652D2EB16}</x:author>
    <x:author>tc={095A3067-84D4-4F44-BE38-C4EF23B3FBF1}</x:author>
    <x:author>tc={AB57850D-977C-4481-BE7A-894E62673EBC}</x:author>
    <x:author>tc={385CB907-2916-4732-9DE7-150DCB81DA4B}</x:author>
    <x:author>tc={58B79ADD-8ED7-43A9-886F-CD76E1BF08FE}</x:author>
    <x:author>tc={A6BC3DC7-77AA-481B-8261-89E5B4827955}</x:author>
    <x:author>tc={402ECD39-516B-4100-9B2B-E1A88F1C8BB8}</x:author>
    <x:author>tc={F35FA904-050E-4283-85E9-1C0D2ED00F79}</x:author>
    <x:author>tc={05495AE7-7D5D-441A-A5C0-C68304D9349D}</x:author>
    <x:author>tc={D7B4838E-70F1-4FAC-8FBC-F72E254B4B57}</x:author>
    <x:author>tc={D61FB561-19D2-43BE-902B-20FD8857C504}</x:author>
    <x:author>tc={CC26C220-6A09-48E9-B9B2-5982FB1E433C}</x:author>
    <x:author>tc={534CAA69-0798-431E-B459-3CCC2ED7D27D}</x:author>
    <x:author>tc={243CD1C5-F2E3-4176-BA21-12D8ECEDC695}</x:author>
    <x:author>tc={67245DD0-8C96-41C3-8361-C81DE4746ECB}</x:author>
    <x:author>tc={FECE0D48-AC0E-4B0B-AEAB-D58CD9AA1FFF}</x:author>
    <x:author>tc={755620C8-4F33-42F0-81E8-1A99FD247726}</x:author>
    <x:author>tc={203F61C8-05E0-4097-BDE6-D0C9072B1C98}</x:author>
    <x:author>tc={87BFF286-C0EA-45B7-A0BF-5D905A7981D9}</x:author>
    <x:author>tc={59F7BF60-B148-4CFA-981B-47618627F631}</x:author>
    <x:author>tc={79ED541F-EFDE-4958-A323-2C78970ADA4A}</x:author>
    <x:author>tc={97397492-3024-4032-9510-FE68307AB14A}</x:author>
    <x:author>tc={78574820-6B6B-4E92-8D5B-A15EB7A34589}</x:author>
    <x:author>tc={84F39949-9DEF-4AC9-B75D-9DF7AA073887}</x:author>
    <x:author>tc={45E2B1C0-ED27-45C2-8647-7235C1EE87E6}</x:author>
    <x:author>tc={6E625A66-0DA1-4253-A2C0-66DD8624150A}</x:author>
    <x:author>tc={7ADD4B82-F263-4F43-B479-9168144C4DCA}</x:author>
    <x:author>tc={FF97B944-7340-4DB1-80CE-80F44AB5C24F}</x:author>
    <x:author>tc={7E60BCC6-B597-420C-8CF1-60F61243202B}</x:author>
    <x:author>tc={05F6B2D3-AED2-401B-AA88-70331ED5B920}</x:author>
    <x:author>tc={7AF7A0F8-B5EF-4CD5-ACE0-25C69C7D2FFD}</x:author>
    <x:author>tc={7CB844AB-0142-4351-A720-73EFB2311B0D}</x:author>
    <x:author>tc={32AE07EE-5FED-4BB3-B48C-A44C54FAEED2}</x:author>
    <x:author>tc={5912533C-8A08-43B1-9182-AA1F32604427}</x:author>
    <x:author>tc={EB825FC6-54FD-4E54-AA43-0B3C4E1C5E06}</x:author>
    <x:author>tc={A4A4F2FE-6A39-4161-8146-B4E6C9334E39}</x:author>
    <x:author>tc={8A52A43C-816B-4A0D-8AD0-7020EE9CBC9B}</x:author>
    <x:author>tc={43835360-90CE-4922-BB2E-40CF856BC661}</x:author>
    <x:author>tc={3CB060B1-FF41-4EDD-B70E-06E199C48E63}</x:author>
    <x:author>tc={E41BE1A3-CDDB-4623-BDF3-8B702F1C5F49}</x:author>
    <x:author>tc={D4DD3A2D-801A-4B44-A2DC-480FD8E7FE14}</x:author>
    <x:author>tc={389CC468-A22E-49C3-948C-1CB3ECA5AACD}</x:author>
    <x:author>tc={1E16B1D7-3BF9-4CF0-BDC9-ED2E2547518A}</x:author>
    <x:author>tc={85428F0A-0D14-4413-A769-6DFAF53D9820}</x:author>
    <x:author>tc={CD5F0A73-73AF-4730-AAA6-BFD2DCC9B5A3}</x:author>
    <x:author>tc={1CEFB36B-21D5-4B6C-9CA6-39BB8EB0CF6C}</x:author>
    <x:author>tc={174F2573-5769-4B6F-828E-FA68204CACB8}</x:author>
    <x:author>tc={27554ED5-6F72-4BD7-B199-CF5B430CCAC5}</x:author>
    <x:author>tc={3705710C-990E-4914-9FF4-F3B8B50EF0AD}</x:author>
    <x:author>tc={FB2435DB-68BB-4E4B-9FF2-EF5E27348507}</x:author>
    <x:author>tc={70C2AD8E-C9FC-4AB9-BC3C-BFAC8BF89CDF}</x:author>
    <x:author>tc={1BAC3614-11FF-4708-B911-74F0AED22BD6}</x:author>
    <x:author>tc={8EA73FE1-0B29-430C-BCF0-D26B91E29189}</x:author>
    <x:author>tc={7FFC8FFE-7EB4-427B-8CDC-FDF24D5B0DA2}</x:author>
    <x:author>tc={8EA297AA-C8AB-48BF-B74B-9DDC817F4B17}</x:author>
    <x:author>tc={F2076D47-F836-4FD6-AD06-42647EA36020}</x:author>
    <x:author>tc={A40311EB-84B7-4EE7-B0E7-EDD863D24713}</x:author>
    <x:author>tc={550BC2AD-4ED3-4417-9DE9-FCFF412B0B40}</x:author>
    <x:author>tc={0EC26CF8-2F5F-43B6-B40B-27C72B90F7AB}</x:author>
    <x:author>tc={EEB5C087-BBCE-4281-B119-09C836850723}</x:author>
  </x:authors>
  <x:commentList>
    <x:comment ref="J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7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7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7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8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8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8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8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8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9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9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9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9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9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0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10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10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10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0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1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11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11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11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1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2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12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12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12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2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13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1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13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3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4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14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14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14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4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5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15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15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15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5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6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16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16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16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6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7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17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17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17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7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8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18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18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18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8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19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19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19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19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19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0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20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20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20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0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1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21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21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21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1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2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22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22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22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2" authorId="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3" authorId="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23" authorId="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23" authorId="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23" authorId="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3" authorId="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4" authorId="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24" authorId="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24" authorId="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24" authorId="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4" authorId="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5" authorId="1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25" authorId="1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25" authorId="1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25" authorId="1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5" authorId="1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6" authorId="1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26" authorId="1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26" authorId="1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26" authorId="1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6" authorId="1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7" authorId="1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27" authorId="1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27" authorId="1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27" authorId="1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7" authorId="1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8" authorId="1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28" authorId="1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28" authorId="1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28" authorId="1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8" authorId="1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29" authorId="1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29" authorId="1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29" authorId="1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29" authorId="1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29" authorId="1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30" authorId="1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30" authorId="1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30" authorId="1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30" authorId="1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30" authorId="1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31" authorId="1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31" authorId="1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31" authorId="1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31" authorId="1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31" authorId="1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32" authorId="1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32" authorId="1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32" authorId="1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32" authorId="1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32" authorId="1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33" authorId="1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33" authorId="1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33" authorId="1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33" authorId="1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33" authorId="1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34" authorId="1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34" authorId="1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34" authorId="1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34" authorId="1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34" authorId="1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  <x:comment ref="J35" authorId="1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Sheet evidence: Production sheet card manually opened; description, weight/price and data-owned mechanic are visible. Active light/check actions are exposed where applicable; container/pack rules are explicit.</x:t>
        </x:r>
      </x:text>
    </x:comment>
    <x:comment ref="K35" authorId="1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Combat evidence: Not mechanically relevant in combat for this checklist.</x:t>
        </x:r>
      </x:text>
    </x:comment>
    <x:comment ref="L35" authorId="1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Clarity evidence: Production sheet card manually opened; description, weight/price and data-owned mechanic are visible. Active light/check actions are exposed where applicable; container/pack rules are explicit.</x:t>
        </x:r>
      </x:text>
    </x:comment>
    <x:comment ref="N35" authorId="1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Approved after production browser review plus focused shared-contract tests. The production card is unrestricted (support=NULL) and therefore available in Forge/catalog selection.</x:t>
        </x:r>
      </x:text>
    </x:comment>
    <x:comment ref="P35" authorId="1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equipment rule reference: https://www.dndbeyond.com/sources/dnd/br-2024/equipment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233C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5E50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D6A84B"/>
      </x:patternFill>
    </x:fill>
    <x:fill>
      <x:patternFill patternType="solid">
        <x:fgColor rgb="FFFFF8E8"/>
      </x:patternFill>
    </x:fill>
    <x:fill>
      <x:patternFill patternType="solid">
        <x:fgColor rgb="FFFFFFFF"/>
      </x:patternFill>
    </x:fill>
    <x:fill>
      <x:patternFill patternType="solid">
        <x:fgColor rgb="FFF4F0E6"/>
      </x:patternFill>
    </x:fill>
    <x:fill>
      <x:patternFill patternType="solid">
        <x:fgColor rgb="FFF9F7F1"/>
      </x:patternFill>
    </x:fill>
  </x:fills>
  <x:borders count="4">
    <x:border/>
    <x:border>
      <x:left style="thin">
        <x:color rgb="FFB78A35"/>
      </x:left>
      <x:right style="thin">
        <x:color rgb="FFB78A35"/>
      </x:right>
      <x:top style="thin">
        <x:color rgb="FFB78A35"/>
      </x:top>
      <x:bottom style="thin">
        <x:color rgb="FFB78A35"/>
      </x:bottom>
    </x:border>
    <x:border>
      <x:left style="thin">
        <x:color rgb="FFD5D0C5"/>
      </x:left>
      <x:right style="thin">
        <x:color rgb="FFD5D0C5"/>
      </x:right>
      <x:top style="thin">
        <x:color rgb="FFD5D0C5"/>
      </x:top>
      <x:bottom style="thin">
        <x:color rgb="FFD5D0C5"/>
      </x:bottom>
    </x:border>
    <x:border>
      <x:left style="thin">
        <x:color rgb="FFE2DDD2"/>
      </x:left>
      <x:right style="thin">
        <x:color rgb="FFE2DDD2"/>
      </x:right>
      <x:top style="thin">
        <x:color rgb="FFE2DDD2"/>
      </x:top>
      <x:bottom style="thin">
        <x:color rgb="FFE2DDD2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2" fillId="3" borderId="1" xfId="0" applyNumberFormat="1" applyFont="1" applyFill="1" applyBorder="1"/>
    <x:xf numFmtId="0" fontId="3" fillId="2" borderId="2" xfId="0" applyNumberFormat="1" applyFont="1" applyFill="1" applyBorder="1"/>
    <x:xf numFmtId="0" fontId="0" fillId="0" borderId="2" xfId="0" applyNumberFormat="1" applyFont="1" applyFill="1" applyBorder="1"/>
    <x:xf numFmtId="0" fontId="2" fillId="3" borderId="2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3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horizontal="center" vertical="top" wrapText="1"/>
    </x:xf>
    <x:xf numFmtId="0" fontId="0" fillId="7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b/>
        <x:color rgb="FF126B2E"/>
      </x:font>
      <x:fill>
        <x:patternFill patternType="solid">
          <x:bgColor rgb="FFDFF2E1"/>
        </x:patternFill>
      </x:fill>
    </x:dxf>
    <x:dxf>
      <x:font>
        <x:b/>
        <x:color rgb="FF9C231D"/>
      </x:font>
      <x:fill>
        <x:patternFill patternType="solid">
          <x:bgColor rgb="FFFCE1DF"/>
        </x:patternFill>
      </x:fill>
    </x:dxf>
    <x:dxf>
      <x:font>
        <x:b/>
        <x:color rgb="FF9C231D"/>
      </x:font>
      <x:fill>
        <x:patternFill patternType="solid">
          <x:bgColor rgb="FFFCE1DF"/>
        </x:patternFill>
      </x:fill>
    </x:dxf>
    <x:dxf>
      <x:font>
        <x:b/>
        <x:color rgb="FF126B2E"/>
      </x:font>
      <x:fill>
        <x:patternFill patternType="solid">
          <x:bgColor rgb="FFDFF2E1"/>
        </x:patternFill>
      </x:fill>
    </x:dxf>
    <x:dxf>
      <x:font>
        <x:b/>
        <x:color rgb="FF9C231D"/>
      </x:font>
      <x:fill>
        <x:patternFill patternType="solid">
          <x:bgColor rgb="FFFCE1DF"/>
        </x:patternFill>
      </x:fill>
    </x:dxf>
    <x:dxf>
      <x:font>
        <x:b/>
        <x:color rgb="FF9C231D"/>
      </x:font>
      <x:fill>
        <x:patternFill patternType="solid">
          <x:bgColor rgb="FFFCE1DF"/>
        </x:patternFill>
      </x:fill>
    </x:dxf>
    <x:dxf>
      <x:font>
        <x:b/>
        <x:color rgb="FF126B2E"/>
      </x:font>
      <x:fill>
        <x:patternFill patternType="solid">
          <x:bgColor rgb="FFDFF2E1"/>
        </x:patternFill>
      </x:fill>
    </x:dxf>
    <x:dxf>
      <x:font>
        <x:b/>
        <x:color rgb="FF9C231D"/>
      </x:font>
      <x:fill>
        <x:patternFill patternType="solid">
          <x:bgColor rgb="FFFCE1DF"/>
        </x:patternFill>
      </x:fill>
    </x:dxf>
    <x:dxf>
      <x:font>
        <x:b/>
        <x:color rgb="FF9C231D"/>
      </x:font>
      <x:fill>
        <x:patternFill patternType="solid">
          <x:bgColor rgb="FFFCE1DF"/>
        </x:patternFill>
      </x:fill>
    </x:dxf>
    <x:dxf>
      <x:font>
        <x:b/>
        <x:color rgb="FF126B2E"/>
      </x:font>
      <x:fill>
        <x:patternFill patternType="solid">
          <x:bgColor rgb="FFDFF2E1"/>
        </x:patternFill>
      </x:fill>
    </x:dxf>
    <x:dxf>
      <x:font>
        <x:b/>
        <x:color rgb="FF9C231D"/>
      </x:font>
      <x:fill>
        <x:patternFill patternType="solid">
          <x:bgColor rgb="FFFCE1DF"/>
        </x:patternFill>
      </x:fill>
    </x:dxf>
    <x:dxf>
      <x:font>
        <x:b/>
        <x:color rgb="FF9C231D"/>
      </x:font>
      <x:fill>
        <x:patternFill patternType="solid">
          <x:bgColor rgb="FFFCE1DF"/>
        </x:patternFill>
      </x:fill>
    </x:dxf>
    <x:dxf>
      <x:font>
        <x:b/>
        <x:color rgb="FF126B2E"/>
      </x:font>
      <x:fill>
        <x:patternFill patternType="solid">
          <x:bgColor rgb="FFDFF2E1"/>
        </x:patternFill>
      </x:fill>
    </x:dxf>
    <x:dxf>
      <x:font>
        <x:b/>
        <x:color rgb="FF9C231D"/>
      </x:font>
      <x:fill>
        <x:patternFill patternType="solid">
          <x:bgColor rgb="FFFCE1DF"/>
        </x:patternFill>
      </x:fill>
    </x:dxf>
    <x:dxf>
      <x:font>
        <x:b/>
        <x:color rgb="FF9C231D"/>
      </x:font>
      <x:fill>
        <x:patternFill patternType="solid">
          <x:bgColor rgb="FFFCE1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2867a1da94cfc" /><Relationship Type="http://schemas.openxmlformats.org/officeDocument/2006/relationships/theme" Target="/xl/theme/theme1.xml" Id="Rf26928cdb27b435f" /><Relationship Type="http://schemas.openxmlformats.org/officeDocument/2006/relationships/sharedStrings" Target="/xl/sharedStrings.xml" Id="R634a911f1e664b79" /><Relationship Type="http://schemas.openxmlformats.org/officeDocument/2006/relationships/worksheet" Target="/xl/worksheets/sheet1.xml" Id="R0ae5b0efb05a4eef" /><Relationship Type="http://schemas.openxmlformats.org/officeDocument/2006/relationships/worksheet" Target="/xl/worksheets/sheet2.xml" Id="Rdec67b29c78f47a2" /><Relationship Type="http://schemas.openxmlformats.org/officeDocument/2006/relationships/worksheet" Target="/xl/worksheets/sheet3.xml" Id="Rd48221a308134f87" /><Relationship Type="http://schemas.openxmlformats.org/officeDocument/2006/relationships/worksheet" Target="/xl/worksheets/sheet4.xml" Id="R7555e740643e4ccf" /><Relationship Type="http://schemas.openxmlformats.org/officeDocument/2006/relationships/worksheet" Target="/xl/worksheets/sheet5.xml" Id="R19250d961db44047" /><Relationship Type="http://schemas.openxmlformats.org/officeDocument/2006/relationships/worksheet" Target="/xl/worksheets/sheet6.xml" Id="Raf992aa1745043c2" /><Relationship Type="http://schemas.microsoft.com/office/2017/10/relationships/person" Target="/xl/persons/person.xml" Id="R6645e292a8474f9f" /></Relationships>
</file>

<file path=xl/persons/person.xml><?xml version="1.0" encoding="utf-8"?>
<xltc:personList xmlns:xltc="http://schemas.microsoft.com/office/spreadsheetml/2018/threadedcomments">
  <xltc:person displayName="Alexey Romanovich Wilhelm" id="{AFD396CA-51B7-4DE5-9249-7D8DEEBE206D}"/>
</xltc:personList>
</file>

<file path=xl/tables/table1.xml><?xml version="1.0" encoding="utf-8"?>
<x:table xmlns:x="http://schemas.openxmlformats.org/spreadsheetml/2006/main" id="1" name="WeaponsTable" displayName="WeaponsTable" ref="A4:P42" headerRowCount="1" totalsRowCount="0" totalsRowShown="0">
  <x:tableColumns count="16">
    <x:tableColumn id="1" name="#"/>
    <x:tableColumn id="2" name="Category"/>
    <x:tableColumn id="3" name="Name (RU)"/>
    <x:tableColumn id="4" name="Name (EN)"/>
    <x:tableColumn id="5" name="Official rule"/>
    <x:tableColumn id="6" name="Expected mechanic"/>
    <x:tableColumn id="7" name="Card number"/>
    <x:tableColumn id="8" name="Catalog"/>
    <x:tableColumn id="9" name="Duplicates"/>
    <x:tableColumn id="10" name="Sheet test"/>
    <x:tableColumn id="11" name="Combat test"/>
    <x:tableColumn id="12" name="Clarity test"/>
    <x:tableColumn id="13" name="Character ID(s)"/>
    <x:tableColumn id="14" name="Status"/>
    <x:tableColumn id="15" name="Findings / bug"/>
    <x:tableColumn id="16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morTable" displayName="ArmorTable" ref="A4:P17" headerRowCount="1" totalsRowCount="0" totalsRowShown="0">
  <x:tableColumns count="16">
    <x:tableColumn id="1" name="#"/>
    <x:tableColumn id="2" name="Category"/>
    <x:tableColumn id="3" name="Name (RU)"/>
    <x:tableColumn id="4" name="Name (EN)"/>
    <x:tableColumn id="5" name="Official rule"/>
    <x:tableColumn id="6" name="Expected mechanic"/>
    <x:tableColumn id="7" name="Card number"/>
    <x:tableColumn id="8" name="Catalog"/>
    <x:tableColumn id="9" name="Duplicates"/>
    <x:tableColumn id="10" name="Sheet test"/>
    <x:tableColumn id="11" name="Combat test"/>
    <x:tableColumn id="12" name="Clarity test"/>
    <x:tableColumn id="13" name="Character ID(s)"/>
    <x:tableColumn id="14" name="Status"/>
    <x:tableColumn id="15" name="Findings / bug"/>
    <x:tableColumn id="16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sumablesTable" displayName="ConsumablesTable" ref="A4:P12" headerRowCount="1" totalsRowCount="0" totalsRowShown="0">
  <x:tableColumns count="16">
    <x:tableColumn id="1" name="#"/>
    <x:tableColumn id="2" name="Category"/>
    <x:tableColumn id="3" name="Name (RU)"/>
    <x:tableColumn id="4" name="Name (EN)"/>
    <x:tableColumn id="5" name="Official rule"/>
    <x:tableColumn id="6" name="Expected mechanic"/>
    <x:tableColumn id="7" name="Card number"/>
    <x:tableColumn id="8" name="Catalog"/>
    <x:tableColumn id="9" name="Duplicates"/>
    <x:tableColumn id="10" name="Sheet test"/>
    <x:tableColumn id="11" name="Combat test"/>
    <x:tableColumn id="12" name="Clarity test"/>
    <x:tableColumn id="13" name="Character ID(s)"/>
    <x:tableColumn id="14" name="Status"/>
    <x:tableColumn id="15" name="Findings / bug"/>
    <x:tableColumn id="16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batGearTable" displayName="CombatGearTable" ref="A4:P21" headerRowCount="1" totalsRowCount="0" totalsRowShown="0">
  <x:tableColumns count="16">
    <x:tableColumn id="1" name="#"/>
    <x:tableColumn id="2" name="Category"/>
    <x:tableColumn id="3" name="Name (RU)"/>
    <x:tableColumn id="4" name="Name (EN)"/>
    <x:tableColumn id="5" name="Official rule"/>
    <x:tableColumn id="6" name="Expected mechanic"/>
    <x:tableColumn id="7" name="Card number"/>
    <x:tableColumn id="8" name="Catalog"/>
    <x:tableColumn id="9" name="Duplicates"/>
    <x:tableColumn id="10" name="Sheet test"/>
    <x:tableColumn id="11" name="Combat test"/>
    <x:tableColumn id="12" name="Clarity test"/>
    <x:tableColumn id="13" name="Character ID(s)"/>
    <x:tableColumn id="14" name="Status"/>
    <x:tableColumn id="15" name="Findings / bug"/>
    <x:tableColumn id="16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heetGearTable" displayName="SheetGearTable" ref="A4:P35" headerRowCount="1" totalsRowCount="0" totalsRowShown="0">
  <x:tableColumns count="16">
    <x:tableColumn id="1" name="#"/>
    <x:tableColumn id="2" name="Category"/>
    <x:tableColumn id="3" name="Name (RU)"/>
    <x:tableColumn id="4" name="Name (EN)"/>
    <x:tableColumn id="5" name="Official rule"/>
    <x:tableColumn id="6" name="Expected mechanic"/>
    <x:tableColumn id="7" name="Card number"/>
    <x:tableColumn id="8" name="Catalog"/>
    <x:tableColumn id="9" name="Duplicates"/>
    <x:tableColumn id="10" name="Sheet test"/>
    <x:tableColumn id="11" name="Combat test"/>
    <x:tableColumn id="12" name="Clarity test"/>
    <x:tableColumn id="13" name="Character ID(s)"/>
    <x:tableColumn id="14" name="Status"/>
    <x:tableColumn id="15" name="Findings / bug"/>
    <x:tableColumn id="16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J5" dT="2026-09-02T10:50:57.692" personId="{AFD396CA-51B7-4DE5-9249-7D8DEEBE206D}" id="{A7457D3E-EC8D-4279-B9B0-8E7D0E96F6C6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5" dT="2026-09-02T10:50:57.693" personId="{AFD396CA-51B7-4DE5-9249-7D8DEEBE206D}" id="{86A91FAD-00CE-4DDA-8ED5-1DC296FFE154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5" dT="2026-09-02T10:50:57.693" personId="{AFD396CA-51B7-4DE5-9249-7D8DEEBE206D}" id="{99CAADB2-FD22-42C3-9745-9ADC997268CC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5" dT="2026-09-02T10:50:57.693" personId="{AFD396CA-51B7-4DE5-9249-7D8DEEBE206D}" id="{BC59196D-0C9D-4160-904F-2FF5313B1159}">
    <xltc:text>Approved after production browser review plus focused shared-contract tests. The production card is unrestricted (support=NULL) and therefore available in Forge/catalog selection.</xltc:text>
  </xltc:threadedComment>
  <xltc:threadedComment ref="P5" dT="2026-09-02T10:50:57.693" personId="{AFD396CA-51B7-4DE5-9249-7D8DEEBE206D}" id="{AB792D59-D56F-4ECC-9710-6DF146B9F1EC}">
    <xltc:text>Official 2024 equipment rule reference: https://www.dndbeyond.com/sources/dnd/br-2024/equipment</xltc:text>
  </xltc:threadedComment>
  <xltc:threadedComment ref="J6" dT="2026-09-02T10:50:57.693" personId="{AFD396CA-51B7-4DE5-9249-7D8DEEBE206D}" id="{13E4EAF1-8EC2-48F4-B375-B894B7A31D37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6" dT="2026-09-02T10:50:57.693" personId="{AFD396CA-51B7-4DE5-9249-7D8DEEBE206D}" id="{7627EB85-114C-46A7-A5E0-15C99DB734C3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6" dT="2026-09-02T10:50:57.693" personId="{AFD396CA-51B7-4DE5-9249-7D8DEEBE206D}" id="{032C5C23-78C0-4A6F-8155-6C67C3DA85F0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6" dT="2026-09-02T10:50:57.693" personId="{AFD396CA-51B7-4DE5-9249-7D8DEEBE206D}" id="{695F8D6B-AC4D-4435-9FAC-F0EEDFD76C27}">
    <xltc:text>Approved after production browser review plus focused shared-contract tests. The production card is unrestricted (support=NULL) and therefore available in Forge/catalog selection.</xltc:text>
  </xltc:threadedComment>
  <xltc:threadedComment ref="P6" dT="2026-09-02T10:50:57.693" personId="{AFD396CA-51B7-4DE5-9249-7D8DEEBE206D}" id="{A6AC025A-F54C-45AC-A968-CF0F522FB15F}">
    <xltc:text>Official 2024 equipment rule reference: https://www.dndbeyond.com/sources/dnd/br-2024/equipment</xltc:text>
  </xltc:threadedComment>
  <xltc:threadedComment ref="J7" dT="2026-09-02T10:50:57.693" personId="{AFD396CA-51B7-4DE5-9249-7D8DEEBE206D}" id="{99363341-545B-478E-83CE-B41E5E4D83E9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7" dT="2026-09-02T10:50:57.693" personId="{AFD396CA-51B7-4DE5-9249-7D8DEEBE206D}" id="{3E0F5A77-D781-483B-9174-8C957CD5E4EB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7" dT="2026-09-02T10:50:57.693" personId="{AFD396CA-51B7-4DE5-9249-7D8DEEBE206D}" id="{9CF09973-C96B-4CF4-B83D-4166534AEE1B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7" dT="2026-09-02T10:50:57.693" personId="{AFD396CA-51B7-4DE5-9249-7D8DEEBE206D}" id="{24374F23-2F9E-4394-B340-3742C3DCEAB5}">
    <xltc:text>Approved after production browser review plus focused shared-contract tests. The production card is unrestricted (support=NULL) and therefore available in Forge/catalog selection.</xltc:text>
  </xltc:threadedComment>
  <xltc:threadedComment ref="P7" dT="2026-09-02T10:50:57.693" personId="{AFD396CA-51B7-4DE5-9249-7D8DEEBE206D}" id="{A3FB3E47-5D46-4A47-8F88-A340FDDAAD77}">
    <xltc:text>Official 2024 equipment rule reference: https://www.dndbeyond.com/sources/dnd/br-2024/equipment</xltc:text>
  </xltc:threadedComment>
  <xltc:threadedComment ref="J8" dT="2026-09-02T10:50:57.693" personId="{AFD396CA-51B7-4DE5-9249-7D8DEEBE206D}" id="{5B9E5C42-6CFA-4954-A9A7-EFB699356818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8" dT="2026-09-02T10:50:57.693" personId="{AFD396CA-51B7-4DE5-9249-7D8DEEBE206D}" id="{4CD9683F-A577-40A9-B3E9-BAF4349A9A0F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8" dT="2026-09-02T10:50:57.693" personId="{AFD396CA-51B7-4DE5-9249-7D8DEEBE206D}" id="{95D3365A-FA83-4210-8179-E76317B0D397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8" dT="2026-09-02T10:50:57.694" personId="{AFD396CA-51B7-4DE5-9249-7D8DEEBE206D}" id="{8FD08041-3072-4E87-8A97-C9ADFD9FA618}">
    <xltc:text>Approved after production browser review plus focused shared-contract tests. The production card is unrestricted (support=NULL) and therefore available in Forge/catalog selection.</xltc:text>
  </xltc:threadedComment>
  <xltc:threadedComment ref="P8" dT="2026-09-02T10:50:57.694" personId="{AFD396CA-51B7-4DE5-9249-7D8DEEBE206D}" id="{53747DDE-3CB8-4C3C-8D99-B00A64721C17}">
    <xltc:text>Official 2024 equipment rule reference: https://www.dndbeyond.com/sources/dnd/br-2024/equipment</xltc:text>
  </xltc:threadedComment>
  <xltc:threadedComment ref="J9" dT="2026-09-02T10:50:57.694" personId="{AFD396CA-51B7-4DE5-9249-7D8DEEBE206D}" id="{EA0D00D7-0EAF-45D9-B5DE-619F25BAD963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9" dT="2026-09-02T10:50:57.694" personId="{AFD396CA-51B7-4DE5-9249-7D8DEEBE206D}" id="{55C86081-7788-4D69-BFEE-8FCD963C1266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9" dT="2026-09-02T10:50:57.694" personId="{AFD396CA-51B7-4DE5-9249-7D8DEEBE206D}" id="{371DBA6F-03C1-4B16-966B-8533682B1279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9" dT="2026-09-02T10:50:57.694" personId="{AFD396CA-51B7-4DE5-9249-7D8DEEBE206D}" id="{BC0C7332-4F81-4A42-B8D1-CD85CBA52738}">
    <xltc:text>Approved after production browser review plus focused shared-contract tests. The production card is unrestricted (support=NULL) and therefore available in Forge/catalog selection.</xltc:text>
  </xltc:threadedComment>
  <xltc:threadedComment ref="P9" dT="2026-09-02T10:50:57.694" personId="{AFD396CA-51B7-4DE5-9249-7D8DEEBE206D}" id="{66E052C4-DEA1-4740-A5A3-D1DC92BDEE35}">
    <xltc:text>Official 2024 equipment rule reference: https://www.dndbeyond.com/sources/dnd/br-2024/equipment</xltc:text>
  </xltc:threadedComment>
  <xltc:threadedComment ref="J10" dT="2026-09-02T10:50:57.694" personId="{AFD396CA-51B7-4DE5-9249-7D8DEEBE206D}" id="{5CB33C9D-E272-4B87-9CA8-263A779A5DD0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10" dT="2026-09-02T10:50:57.694" personId="{AFD396CA-51B7-4DE5-9249-7D8DEEBE206D}" id="{78678226-36EE-4626-9C29-1F44A8F69353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10" dT="2026-09-02T10:50:57.694" personId="{AFD396CA-51B7-4DE5-9249-7D8DEEBE206D}" id="{17EB7662-A626-4F75-94EC-6C64EBD0E49A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10" dT="2026-09-02T10:50:57.694" personId="{AFD396CA-51B7-4DE5-9249-7D8DEEBE206D}" id="{5FEC7559-5607-4EA0-BA42-8974F92D21C7}">
    <xltc:text>Approved after production browser review plus focused shared-contract tests. The production card is unrestricted (support=NULL) and therefore available in Forge/catalog selection.</xltc:text>
  </xltc:threadedComment>
  <xltc:threadedComment ref="P10" dT="2026-09-02T10:50:57.694" personId="{AFD396CA-51B7-4DE5-9249-7D8DEEBE206D}" id="{60DF808A-A022-492C-9CA8-1C8E0A9B6303}">
    <xltc:text>Official 2024 equipment rule reference: https://www.dndbeyond.com/sources/dnd/br-2024/equipment</xltc:text>
  </xltc:threadedComment>
  <xltc:threadedComment ref="J11" dT="2026-09-02T10:50:57.694" personId="{AFD396CA-51B7-4DE5-9249-7D8DEEBE206D}" id="{9E5FE7D4-EB07-4249-8481-31E087F88B65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11" dT="2026-09-02T10:50:57.694" personId="{AFD396CA-51B7-4DE5-9249-7D8DEEBE206D}" id="{0B893D20-F78C-44BD-8E67-4A93DBDEE95B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11" dT="2026-09-02T10:50:57.694" personId="{AFD396CA-51B7-4DE5-9249-7D8DEEBE206D}" id="{B693CF60-91ED-4522-97F5-B1780DC0E39E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11" dT="2026-09-02T10:50:57.694" personId="{AFD396CA-51B7-4DE5-9249-7D8DEEBE206D}" id="{34BF1A2B-EAEA-4D0A-B951-9B8ADBBE97A7}">
    <xltc:text>Approved after production browser review plus focused shared-contract tests. The production card is unrestricted (support=NULL) and therefore available in Forge/catalog selection.</xltc:text>
  </xltc:threadedComment>
  <xltc:threadedComment ref="P11" dT="2026-09-02T10:50:57.694" personId="{AFD396CA-51B7-4DE5-9249-7D8DEEBE206D}" id="{3C4A66D2-5465-429B-9026-A351A45F4C68}">
    <xltc:text>Official 2024 equipment rule reference: https://www.dndbeyond.com/sources/dnd/br-2024/equipment</xltc:text>
  </xltc:threadedComment>
  <xltc:threadedComment ref="J12" dT="2026-09-02T10:50:57.694" personId="{AFD396CA-51B7-4DE5-9249-7D8DEEBE206D}" id="{BB86A98A-F3E5-45BF-A2A9-201C4A351A64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12" dT="2026-09-02T10:50:57.694" personId="{AFD396CA-51B7-4DE5-9249-7D8DEEBE206D}" id="{F57C733A-E289-4839-B458-B291EC71A580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12" dT="2026-09-02T10:50:57.694" personId="{AFD396CA-51B7-4DE5-9249-7D8DEEBE206D}" id="{240F144A-5CD5-4211-92A3-923302808835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12" dT="2026-09-02T10:50:57.694" personId="{AFD396CA-51B7-4DE5-9249-7D8DEEBE206D}" id="{72D3E67B-2CCB-4737-AE54-ABA516BAEE0F}">
    <xltc:text>Approved after production browser review plus focused shared-contract tests. The production card is unrestricted (support=NULL) and therefore available in Forge/catalog selection.</xltc:text>
  </xltc:threadedComment>
  <xltc:threadedComment ref="P12" dT="2026-09-02T10:50:57.694" personId="{AFD396CA-51B7-4DE5-9249-7D8DEEBE206D}" id="{1BFAEC24-F9B2-47B5-9656-2A533D5D8576}">
    <xltc:text>Official 2024 equipment rule reference: https://www.dndbeyond.com/sources/dnd/br-2024/equipment</xltc:text>
  </xltc:threadedComment>
  <xltc:threadedComment ref="J13" dT="2026-09-02T10:50:57.694" personId="{AFD396CA-51B7-4DE5-9249-7D8DEEBE206D}" id="{51A44F28-3722-4FB2-910F-AC48DE03FC12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13" dT="2026-09-02T10:50:57.694" personId="{AFD396CA-51B7-4DE5-9249-7D8DEEBE206D}" id="{45874DA4-2434-40B5-8690-9BA785E4122A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13" dT="2026-09-02T10:50:57.695" personId="{AFD396CA-51B7-4DE5-9249-7D8DEEBE206D}" id="{3EBFAEAA-B90C-4632-BD43-0C672690B686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13" dT="2026-09-02T10:50:57.695" personId="{AFD396CA-51B7-4DE5-9249-7D8DEEBE206D}" id="{4382DDC5-0142-4F46-BA7F-C68D59C9119F}">
    <xltc:text>Approved after production browser review plus focused shared-contract tests. The production card is unrestricted (support=NULL) and therefore available in Forge/catalog selection.</xltc:text>
  </xltc:threadedComment>
  <xltc:threadedComment ref="P13" dT="2026-09-02T10:50:57.695" personId="{AFD396CA-51B7-4DE5-9249-7D8DEEBE206D}" id="{9A6D4900-02F7-4835-AFC1-2A0EDAFD07BF}">
    <xltc:text>Official 2024 equipment rule reference: https://www.dndbeyond.com/sources/dnd/br-2024/equipment</xltc:text>
  </xltc:threadedComment>
  <xltc:threadedComment ref="J14" dT="2026-09-02T10:50:57.695" personId="{AFD396CA-51B7-4DE5-9249-7D8DEEBE206D}" id="{D0245221-8316-4154-BBCB-748C138F7716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14" dT="2026-09-02T10:50:57.695" personId="{AFD396CA-51B7-4DE5-9249-7D8DEEBE206D}" id="{487C14A7-2562-4FAE-B8B4-C452E10F85FF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14" dT="2026-09-02T10:50:57.695" personId="{AFD396CA-51B7-4DE5-9249-7D8DEEBE206D}" id="{68389F38-726F-4B39-AA93-B17F4B9B5E8D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14" dT="2026-09-02T10:50:57.695" personId="{AFD396CA-51B7-4DE5-9249-7D8DEEBE206D}" id="{2740EB06-05C7-4545-B2C0-971D7DE02DD4}">
    <xltc:text>Approved after production browser review plus focused shared-contract tests. The production card is unrestricted (support=NULL) and therefore available in Forge/catalog selection.</xltc:text>
  </xltc:threadedComment>
  <xltc:threadedComment ref="P14" dT="2026-09-02T10:50:57.695" personId="{AFD396CA-51B7-4DE5-9249-7D8DEEBE206D}" id="{C15B98AE-B3E7-42C4-8E20-2711BD39ABD2}">
    <xltc:text>Official 2024 equipment rule reference: https://www.dndbeyond.com/sources/dnd/br-2024/equipment</xltc:text>
  </xltc:threadedComment>
  <xltc:threadedComment ref="J15" dT="2026-09-02T10:50:57.695" personId="{AFD396CA-51B7-4DE5-9249-7D8DEEBE206D}" id="{008062C3-87E3-48D3-9217-71DFA5137140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15" dT="2026-09-02T10:50:57.695" personId="{AFD396CA-51B7-4DE5-9249-7D8DEEBE206D}" id="{9155BD50-9DDC-4295-9542-4DD57FF31C2F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15" dT="2026-09-02T10:50:57.695" personId="{AFD396CA-51B7-4DE5-9249-7D8DEEBE206D}" id="{C8459504-2EC6-40C7-B0CA-433F38FC00AE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15" dT="2026-09-02T10:50:57.695" personId="{AFD396CA-51B7-4DE5-9249-7D8DEEBE206D}" id="{88571A18-B5CB-4422-81B1-A6F13D342E54}">
    <xltc:text>Approved after production browser review plus focused shared-contract tests. The production card is unrestricted (support=NULL) and therefore available in Forge/catalog selection.</xltc:text>
  </xltc:threadedComment>
  <xltc:threadedComment ref="P15" dT="2026-09-02T10:50:57.695" personId="{AFD396CA-51B7-4DE5-9249-7D8DEEBE206D}" id="{D41CB76D-98B9-442D-8751-A5383469EFEE}">
    <xltc:text>Official 2024 equipment rule reference: https://www.dndbeyond.com/sources/dnd/br-2024/equipment</xltc:text>
  </xltc:threadedComment>
  <xltc:threadedComment ref="J16" dT="2026-09-02T10:50:57.695" personId="{AFD396CA-51B7-4DE5-9249-7D8DEEBE206D}" id="{9EAE2254-F369-418F-BBB4-58E86E5E1140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16" dT="2026-09-02T10:50:57.695" personId="{AFD396CA-51B7-4DE5-9249-7D8DEEBE206D}" id="{CAFC3094-7E60-40F3-AE7A-D84C7A7B8085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16" dT="2026-09-02T10:50:57.695" personId="{AFD396CA-51B7-4DE5-9249-7D8DEEBE206D}" id="{BCEEB5E3-76A0-4BDF-827E-21CE31AA6B8F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16" dT="2026-09-02T10:50:57.695" personId="{AFD396CA-51B7-4DE5-9249-7D8DEEBE206D}" id="{A7E40A3A-1DEE-4B49-B827-7C3D9C99C222}">
    <xltc:text>Approved after production browser review plus focused shared-contract tests. The production card is unrestricted (support=NULL) and therefore available in Forge/catalog selection.</xltc:text>
  </xltc:threadedComment>
  <xltc:threadedComment ref="P16" dT="2026-09-02T10:50:57.695" personId="{AFD396CA-51B7-4DE5-9249-7D8DEEBE206D}" id="{7E77B4F3-03FE-43AE-9709-5ABEE86FF725}">
    <xltc:text>Official 2024 equipment rule reference: https://www.dndbeyond.com/sources/dnd/br-2024/equipment</xltc:text>
  </xltc:threadedComment>
  <xltc:threadedComment ref="J17" dT="2026-09-02T10:50:57.695" personId="{AFD396CA-51B7-4DE5-9249-7D8DEEBE206D}" id="{3AD1DB8E-265E-447F-8090-B774ACE9DE77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17" dT="2026-09-02T10:50:57.695" personId="{AFD396CA-51B7-4DE5-9249-7D8DEEBE206D}" id="{93B7196A-73A9-4863-92D4-999CD73D0859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17" dT="2026-09-02T10:50:57.695" personId="{AFD396CA-51B7-4DE5-9249-7D8DEEBE206D}" id="{3A340E84-F7B9-42B7-B95E-A1FF7B1F3F9D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17" dT="2026-09-02T10:50:57.695" personId="{AFD396CA-51B7-4DE5-9249-7D8DEEBE206D}" id="{70814C71-22E9-460F-A712-0722D9AC8A0B}">
    <xltc:text>Approved after production browser review plus focused shared-contract tests. The production card is unrestricted (support=NULL) and therefore available in Forge/catalog selection.</xltc:text>
  </xltc:threadedComment>
  <xltc:threadedComment ref="P17" dT="2026-09-02T10:50:57.695" personId="{AFD396CA-51B7-4DE5-9249-7D8DEEBE206D}" id="{F44A7A2D-A2BD-4275-9369-B56281C34A0E}">
    <xltc:text>Official 2024 equipment rule reference: https://www.dndbeyond.com/sources/dnd/br-2024/equipment</xltc:text>
  </xltc:threadedComment>
  <xltc:threadedComment ref="J18" dT="2026-09-02T10:50:57.695" personId="{AFD396CA-51B7-4DE5-9249-7D8DEEBE206D}" id="{9936DD28-81AD-4319-A943-53BE99E645B8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18" dT="2026-09-02T10:50:57.695" personId="{AFD396CA-51B7-4DE5-9249-7D8DEEBE206D}" id="{8BB7D819-A4E3-48E3-9344-E8C695187948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18" dT="2026-09-02T10:50:57.695" personId="{AFD396CA-51B7-4DE5-9249-7D8DEEBE206D}" id="{0E6F5CEB-DF2B-4611-9220-F364D38F842E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18" dT="2026-09-02T10:50:57.695" personId="{AFD396CA-51B7-4DE5-9249-7D8DEEBE206D}" id="{8E751911-9D5D-40A6-A5AB-51C4B8D20E71}">
    <xltc:text>Approved after production browser review plus focused shared-contract tests. The production card is unrestricted (support=NULL) and therefore available in Forge/catalog selection.</xltc:text>
  </xltc:threadedComment>
  <xltc:threadedComment ref="P18" dT="2026-09-02T10:50:57.695" personId="{AFD396CA-51B7-4DE5-9249-7D8DEEBE206D}" id="{AA041C24-0F48-4DDC-A8DE-6A33FD289A84}">
    <xltc:text>Official 2024 equipment rule reference: https://www.dndbeyond.com/sources/dnd/br-2024/equipment</xltc:text>
  </xltc:threadedComment>
  <xltc:threadedComment ref="J19" dT="2026-09-02T10:50:57.695" personId="{AFD396CA-51B7-4DE5-9249-7D8DEEBE206D}" id="{FD9A2E34-D378-43F9-8FF5-738D5958B912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19" dT="2026-09-02T10:50:57.695" personId="{AFD396CA-51B7-4DE5-9249-7D8DEEBE206D}" id="{D6BEEEA5-C0DA-4AE0-866B-E27FA563D08B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19" dT="2026-09-02T10:50:57.695" personId="{AFD396CA-51B7-4DE5-9249-7D8DEEBE206D}" id="{B290BDE9-AA2F-4FF4-A5D9-862E3F6E5D3C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19" dT="2026-09-02T10:50:57.695" personId="{AFD396CA-51B7-4DE5-9249-7D8DEEBE206D}" id="{426C71A8-7005-41CD-A3D6-A6CC34F433C6}">
    <xltc:text>Approved after production browser review plus focused shared-contract tests. The production card is unrestricted (support=NULL) and therefore available in Forge/catalog selection.</xltc:text>
  </xltc:threadedComment>
  <xltc:threadedComment ref="P19" dT="2026-09-02T10:50:57.695" personId="{AFD396CA-51B7-4DE5-9249-7D8DEEBE206D}" id="{D3F9EB3E-0046-4460-9471-9A0EFF62C76A}">
    <xltc:text>Official 2024 equipment rule reference: https://www.dndbeyond.com/sources/dnd/br-2024/equipment</xltc:text>
  </xltc:threadedComment>
  <xltc:threadedComment ref="J20" dT="2026-09-02T10:50:57.695" personId="{AFD396CA-51B7-4DE5-9249-7D8DEEBE206D}" id="{4D396F37-1346-43D7-BFE7-704F974E27E2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20" dT="2026-09-02T10:50:57.695" personId="{AFD396CA-51B7-4DE5-9249-7D8DEEBE206D}" id="{51194414-473B-455F-B4B0-3265E48DA96B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20" dT="2026-09-02T10:50:57.695" personId="{AFD396CA-51B7-4DE5-9249-7D8DEEBE206D}" id="{33BA4B2D-75ED-4DB2-AD2D-BD6744330308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20" dT="2026-09-02T10:50:57.695" personId="{AFD396CA-51B7-4DE5-9249-7D8DEEBE206D}" id="{58180A45-6106-4CB3-8A02-795EB1ACF94C}">
    <xltc:text>Approved after production browser review plus focused shared-contract tests. The production card is unrestricted (support=NULL) and therefore available in Forge/catalog selection.</xltc:text>
  </xltc:threadedComment>
  <xltc:threadedComment ref="P20" dT="2026-09-02T10:50:57.695" personId="{AFD396CA-51B7-4DE5-9249-7D8DEEBE206D}" id="{7A98AD83-9F13-4455-8A2A-65440D912FAD}">
    <xltc:text>Official 2024 equipment rule reference: https://www.dndbeyond.com/sources/dnd/br-2024/equipment</xltc:text>
  </xltc:threadedComment>
  <xltc:threadedComment ref="J21" dT="2026-09-02T10:50:57.696" personId="{AFD396CA-51B7-4DE5-9249-7D8DEEBE206D}" id="{3A3E7A4A-9398-40F3-8FAF-1C38B690C730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21" dT="2026-09-02T10:50:57.696" personId="{AFD396CA-51B7-4DE5-9249-7D8DEEBE206D}" id="{A24D09E1-D7EF-42A0-AED0-33611F4A54C2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21" dT="2026-09-02T10:50:57.696" personId="{AFD396CA-51B7-4DE5-9249-7D8DEEBE206D}" id="{3B61FCC8-0973-46AE-9193-526E8C091A20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21" dT="2026-09-02T10:50:57.696" personId="{AFD396CA-51B7-4DE5-9249-7D8DEEBE206D}" id="{F521F7EE-B87E-4028-8B20-D3539475D3AB}">
    <xltc:text>Approved after production browser review plus focused shared-contract tests. The production card is unrestricted (support=NULL) and therefore available in Forge/catalog selection.</xltc:text>
  </xltc:threadedComment>
  <xltc:threadedComment ref="P21" dT="2026-09-02T10:50:57.696" personId="{AFD396CA-51B7-4DE5-9249-7D8DEEBE206D}" id="{B58A8E91-CA49-4C15-AE24-34C461EA0EBB}">
    <xltc:text>Official 2024 equipment rule reference: https://www.dndbeyond.com/sources/dnd/br-2024/equipment</xltc:text>
  </xltc:threadedComment>
  <xltc:threadedComment ref="J22" dT="2026-09-02T10:50:57.696" personId="{AFD396CA-51B7-4DE5-9249-7D8DEEBE206D}" id="{11A8842B-6324-4BCB-9AC8-D174C994CEED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22" dT="2026-09-02T10:50:57.696" personId="{AFD396CA-51B7-4DE5-9249-7D8DEEBE206D}" id="{75157356-42AD-4E81-AE87-1C1946D4B4B7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22" dT="2026-09-02T10:50:57.696" personId="{AFD396CA-51B7-4DE5-9249-7D8DEEBE206D}" id="{4E5243BB-9C86-4CA3-8E0D-816EADC0ADA9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22" dT="2026-09-02T10:50:57.696" personId="{AFD396CA-51B7-4DE5-9249-7D8DEEBE206D}" id="{0F41ECD7-1691-492A-A5F6-37E2965E40D6}">
    <xltc:text>Approved after production browser review plus focused shared-contract tests. The production card is unrestricted (support=NULL) and therefore available in Forge/catalog selection.</xltc:text>
  </xltc:threadedComment>
  <xltc:threadedComment ref="P22" dT="2026-09-02T10:50:57.696" personId="{AFD396CA-51B7-4DE5-9249-7D8DEEBE206D}" id="{D762269E-BF0E-4ED7-A6B2-A17ADBE92DCB}">
    <xltc:text>Official 2024 equipment rule reference: https://www.dndbeyond.com/sources/dnd/br-2024/equipment</xltc:text>
  </xltc:threadedComment>
  <xltc:threadedComment ref="J23" dT="2026-09-02T10:50:57.696" personId="{AFD396CA-51B7-4DE5-9249-7D8DEEBE206D}" id="{D94D64E0-F931-4F5F-8B12-84A15F84DD5F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23" dT="2026-09-02T10:50:57.696" personId="{AFD396CA-51B7-4DE5-9249-7D8DEEBE206D}" id="{5C7EFF9E-CBC4-479D-9DF5-80F3A6B628C1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23" dT="2026-09-02T10:50:57.696" personId="{AFD396CA-51B7-4DE5-9249-7D8DEEBE206D}" id="{9F52B178-D552-42FF-8017-309A461C8BC5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23" dT="2026-09-02T10:50:57.696" personId="{AFD396CA-51B7-4DE5-9249-7D8DEEBE206D}" id="{BC441563-A592-4105-B233-26065362DEEF}">
    <xltc:text>Approved after production browser review plus focused shared-contract tests. The production card is unrestricted (support=NULL) and therefore available in Forge/catalog selection.</xltc:text>
  </xltc:threadedComment>
  <xltc:threadedComment ref="P23" dT="2026-09-02T10:50:57.696" personId="{AFD396CA-51B7-4DE5-9249-7D8DEEBE206D}" id="{3E484004-A044-466D-8D5D-DFD69C47276A}">
    <xltc:text>Official 2024 equipment rule reference: https://www.dndbeyond.com/sources/dnd/br-2024/equipment</xltc:text>
  </xltc:threadedComment>
  <xltc:threadedComment ref="J24" dT="2026-09-02T10:50:57.696" personId="{AFD396CA-51B7-4DE5-9249-7D8DEEBE206D}" id="{AC32C7FF-EC53-47C0-936A-4FE0398F3FD1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24" dT="2026-09-02T10:50:57.696" personId="{AFD396CA-51B7-4DE5-9249-7D8DEEBE206D}" id="{55D202DB-9413-4182-8ED3-7FD11667F029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24" dT="2026-09-02T10:50:57.696" personId="{AFD396CA-51B7-4DE5-9249-7D8DEEBE206D}" id="{A138AB22-B06E-44D7-9F12-12DC46833694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24" dT="2026-09-02T10:50:57.696" personId="{AFD396CA-51B7-4DE5-9249-7D8DEEBE206D}" id="{E7B5163B-9A97-4E4C-9A7F-5F24834E6131}">
    <xltc:text>Approved after production browser review plus focused shared-contract tests. The production card is unrestricted (support=NULL) and therefore available in Forge/catalog selection.</xltc:text>
  </xltc:threadedComment>
  <xltc:threadedComment ref="P24" dT="2026-09-02T10:50:57.696" personId="{AFD396CA-51B7-4DE5-9249-7D8DEEBE206D}" id="{EE07F988-D878-4340-B1CD-1420518C570A}">
    <xltc:text>Official 2024 equipment rule reference: https://www.dndbeyond.com/sources/dnd/br-2024/equipment</xltc:text>
  </xltc:threadedComment>
  <xltc:threadedComment ref="J25" dT="2026-09-02T10:50:57.696" personId="{AFD396CA-51B7-4DE5-9249-7D8DEEBE206D}" id="{98A674D9-B2DC-46D0-97A0-4742D16C8AD1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25" dT="2026-09-02T10:50:57.696" personId="{AFD396CA-51B7-4DE5-9249-7D8DEEBE206D}" id="{B9CAE681-43CF-4231-AC11-4CC825B07A60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25" dT="2026-09-02T10:50:57.696" personId="{AFD396CA-51B7-4DE5-9249-7D8DEEBE206D}" id="{A8BFAAF2-6DFA-4DFC-976A-8C00F4D91FA2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25" dT="2026-09-02T10:50:57.696" personId="{AFD396CA-51B7-4DE5-9249-7D8DEEBE206D}" id="{CC09CA19-0FAE-4973-A051-1B628B30EE74}">
    <xltc:text>Approved after production browser review plus focused shared-contract tests. The production card is unrestricted (support=NULL) and therefore available in Forge/catalog selection.</xltc:text>
  </xltc:threadedComment>
  <xltc:threadedComment ref="P25" dT="2026-09-02T10:50:57.696" personId="{AFD396CA-51B7-4DE5-9249-7D8DEEBE206D}" id="{93835DE4-244D-45C3-BB4D-29B30CA64E12}">
    <xltc:text>Official 2024 equipment rule reference: https://www.dndbeyond.com/sources/dnd/br-2024/equipment</xltc:text>
  </xltc:threadedComment>
  <xltc:threadedComment ref="J26" dT="2026-09-02T10:50:57.696" personId="{AFD396CA-51B7-4DE5-9249-7D8DEEBE206D}" id="{A826D64F-791F-4530-BF35-021ADF7CFA11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26" dT="2026-09-02T10:50:57.696" personId="{AFD396CA-51B7-4DE5-9249-7D8DEEBE206D}" id="{3E1E13B1-E4AF-4C2D-A93F-41258F984E22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26" dT="2026-09-02T10:50:57.696" personId="{AFD396CA-51B7-4DE5-9249-7D8DEEBE206D}" id="{C7F066A6-2988-45AF-AF64-091A0FC6752C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26" dT="2026-09-02T10:50:57.696" personId="{AFD396CA-51B7-4DE5-9249-7D8DEEBE206D}" id="{46C35108-8CA2-4A91-A6C7-C2B273C1650D}">
    <xltc:text>Approved after production browser review plus focused shared-contract tests. The production card is unrestricted (support=NULL) and therefore available in Forge/catalog selection.</xltc:text>
  </xltc:threadedComment>
  <xltc:threadedComment ref="P26" dT="2026-09-02T10:50:57.696" personId="{AFD396CA-51B7-4DE5-9249-7D8DEEBE206D}" id="{27588027-D8FA-412C-96FC-9C5124DADCCA}">
    <xltc:text>Official 2024 equipment rule reference: https://www.dndbeyond.com/sources/dnd/br-2024/equipment</xltc:text>
  </xltc:threadedComment>
  <xltc:threadedComment ref="J27" dT="2026-09-02T10:50:57.696" personId="{AFD396CA-51B7-4DE5-9249-7D8DEEBE206D}" id="{DF7158C2-9122-4ED1-91EF-4C0662381AA1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27" dT="2026-09-02T10:50:57.696" personId="{AFD396CA-51B7-4DE5-9249-7D8DEEBE206D}" id="{42EE2F31-ECAB-4EC1-BF34-3F144A1265A3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27" dT="2026-09-02T10:50:57.696" personId="{AFD396CA-51B7-4DE5-9249-7D8DEEBE206D}" id="{67A491E4-0CC0-4A4C-A6A3-0FA67040A808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27" dT="2026-09-02T10:50:57.696" personId="{AFD396CA-51B7-4DE5-9249-7D8DEEBE206D}" id="{8B6871D3-2B05-435D-A111-4DC99C328E08}">
    <xltc:text>Approved after production browser review plus focused shared-contract tests. The production card is unrestricted (support=NULL) and therefore available in Forge/catalog selection.</xltc:text>
  </xltc:threadedComment>
  <xltc:threadedComment ref="P27" dT="2026-09-02T10:50:57.696" personId="{AFD396CA-51B7-4DE5-9249-7D8DEEBE206D}" id="{CE3FA19D-F2CB-4A35-82A6-F1B9C04366DB}">
    <xltc:text>Official 2024 equipment rule reference: https://www.dndbeyond.com/sources/dnd/br-2024/equipment</xltc:text>
  </xltc:threadedComment>
  <xltc:threadedComment ref="J28" dT="2026-09-02T10:50:57.696" personId="{AFD396CA-51B7-4DE5-9249-7D8DEEBE206D}" id="{5DD00A62-D515-47D0-BD4E-2F18D3BF1BD3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28" dT="2026-09-02T10:50:57.696" personId="{AFD396CA-51B7-4DE5-9249-7D8DEEBE206D}" id="{7B2BF9B0-E15F-40F4-895D-150C9D1E220D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28" dT="2026-09-02T10:50:57.696" personId="{AFD396CA-51B7-4DE5-9249-7D8DEEBE206D}" id="{5A3B731C-2A5E-4151-ACC0-DF82C1E00E34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28" dT="2026-09-02T10:50:57.696" personId="{AFD396CA-51B7-4DE5-9249-7D8DEEBE206D}" id="{938987EF-5F7D-4615-A5EC-780961EAA60E}">
    <xltc:text>Approved after production browser review plus focused shared-contract tests. The production card is unrestricted (support=NULL) and therefore available in Forge/catalog selection.</xltc:text>
  </xltc:threadedComment>
  <xltc:threadedComment ref="P28" dT="2026-09-02T10:50:57.696" personId="{AFD396CA-51B7-4DE5-9249-7D8DEEBE206D}" id="{A4B7A9BE-16D3-4080-95F0-63167554A2D0}">
    <xltc:text>Official 2024 equipment rule reference: https://www.dndbeyond.com/sources/dnd/br-2024/equipment</xltc:text>
  </xltc:threadedComment>
  <xltc:threadedComment ref="J29" dT="2026-09-02T10:50:57.696" personId="{AFD396CA-51B7-4DE5-9249-7D8DEEBE206D}" id="{D7059027-760A-4B53-977C-A3466BBBBA1A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29" dT="2026-09-02T10:50:57.696" personId="{AFD396CA-51B7-4DE5-9249-7D8DEEBE206D}" id="{08213D27-3CD7-4EE8-A159-BC1147492D9D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29" dT="2026-09-02T10:50:57.696" personId="{AFD396CA-51B7-4DE5-9249-7D8DEEBE206D}" id="{2296B4C1-76EA-4578-A91C-C8B8A95B04EF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29" dT="2026-09-02T10:50:57.696" personId="{AFD396CA-51B7-4DE5-9249-7D8DEEBE206D}" id="{8889E306-4A13-4D79-9FB7-F3CA1C5DFCB9}">
    <xltc:text>Approved after production browser review plus focused shared-contract tests. The production card is unrestricted (support=NULL) and therefore available in Forge/catalog selection.</xltc:text>
  </xltc:threadedComment>
  <xltc:threadedComment ref="P29" dT="2026-09-02T10:50:57.696" personId="{AFD396CA-51B7-4DE5-9249-7D8DEEBE206D}" id="{AEF5CFBC-E701-4A66-8055-A54A11AB01B8}">
    <xltc:text>Official 2024 equipment rule reference: https://www.dndbeyond.com/sources/dnd/br-2024/equipment</xltc:text>
  </xltc:threadedComment>
  <xltc:threadedComment ref="J30" dT="2026-09-02T10:50:57.696" personId="{AFD396CA-51B7-4DE5-9249-7D8DEEBE206D}" id="{674D83D5-CC4F-4C64-9D85-D91B75325D65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30" dT="2026-09-02T10:50:57.696" personId="{AFD396CA-51B7-4DE5-9249-7D8DEEBE206D}" id="{3AD4966C-AD14-46E1-BF99-BAAF431C32E1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30" dT="2026-09-02T10:50:57.696" personId="{AFD396CA-51B7-4DE5-9249-7D8DEEBE206D}" id="{021C8CF7-EF09-4C97-B648-BE8E1AA253BF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30" dT="2026-09-02T10:50:57.696" personId="{AFD396CA-51B7-4DE5-9249-7D8DEEBE206D}" id="{B0E1501B-CEFD-4A67-92A5-07A91E6AA40C}">
    <xltc:text>Approved after production browser review plus focused shared-contract tests. The production card is unrestricted (support=NULL) and therefore available in Forge/catalog selection.</xltc:text>
  </xltc:threadedComment>
  <xltc:threadedComment ref="P30" dT="2026-09-02T10:50:57.696" personId="{AFD396CA-51B7-4DE5-9249-7D8DEEBE206D}" id="{5B744A88-AA40-42EA-A3C6-DDBA4F39F114}">
    <xltc:text>Official 2024 equipment rule reference: https://www.dndbeyond.com/sources/dnd/br-2024/equipment</xltc:text>
  </xltc:threadedComment>
  <xltc:threadedComment ref="J31" dT="2026-09-02T10:50:57.696" personId="{AFD396CA-51B7-4DE5-9249-7D8DEEBE206D}" id="{1F0DEEA8-2411-43A2-8BD9-58BA5A240138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31" dT="2026-09-02T10:50:57.696" personId="{AFD396CA-51B7-4DE5-9249-7D8DEEBE206D}" id="{7B7AC929-B697-4C65-91D9-149BBE797D32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31" dT="2026-09-02T10:50:57.696" personId="{AFD396CA-51B7-4DE5-9249-7D8DEEBE206D}" id="{E8A9D00A-784E-447D-AC68-57501A8A4F7B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31" dT="2026-09-02T10:50:57.696" personId="{AFD396CA-51B7-4DE5-9249-7D8DEEBE206D}" id="{B35BF724-7038-48D2-90CF-0B24FC1652F7}">
    <xltc:text>Approved after production browser review plus focused shared-contract tests. The production card is unrestricted (support=NULL) and therefore available in Forge/catalog selection.</xltc:text>
  </xltc:threadedComment>
  <xltc:threadedComment ref="P31" dT="2026-09-02T10:50:57.696" personId="{AFD396CA-51B7-4DE5-9249-7D8DEEBE206D}" id="{1FD261E6-C39C-4797-B58B-F8C5B7E5A9DC}">
    <xltc:text>Official 2024 equipment rule reference: https://www.dndbeyond.com/sources/dnd/br-2024/equipment</xltc:text>
  </xltc:threadedComment>
  <xltc:threadedComment ref="J32" dT="2026-09-02T10:50:57.696" personId="{AFD396CA-51B7-4DE5-9249-7D8DEEBE206D}" id="{218B6A84-8729-498B-8C3D-140167F68199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32" dT="2026-09-02T10:50:57.696" personId="{AFD396CA-51B7-4DE5-9249-7D8DEEBE206D}" id="{48CF2F37-769E-4E04-958B-3E8522342743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32" dT="2026-09-02T10:50:57.696" personId="{AFD396CA-51B7-4DE5-9249-7D8DEEBE206D}" id="{5D7447C2-369C-44FD-9738-E854EFA84402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32" dT="2026-09-02T10:50:57.696" personId="{AFD396CA-51B7-4DE5-9249-7D8DEEBE206D}" id="{7BCD8D72-8294-4785-BFF4-994023CF55A9}">
    <xltc:text>Approved after production browser review plus focused shared-contract tests. The production card is unrestricted (support=NULL) and therefore available in Forge/catalog selection.</xltc:text>
  </xltc:threadedComment>
  <xltc:threadedComment ref="P32" dT="2026-09-02T10:50:57.697" personId="{AFD396CA-51B7-4DE5-9249-7D8DEEBE206D}" id="{D19CA3E8-4826-482D-8C4F-7042F2B22F64}">
    <xltc:text>Official 2024 equipment rule reference: https://www.dndbeyond.com/sources/dnd/br-2024/equipment</xltc:text>
  </xltc:threadedComment>
  <xltc:threadedComment ref="J33" dT="2026-09-02T10:50:57.697" personId="{AFD396CA-51B7-4DE5-9249-7D8DEEBE206D}" id="{FC40227C-100E-40ED-B73B-03B3572F7960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33" dT="2026-09-02T10:50:57.697" personId="{AFD396CA-51B7-4DE5-9249-7D8DEEBE206D}" id="{1A627D8A-B647-45AD-BD56-B6DD64371388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33" dT="2026-09-02T10:50:57.697" personId="{AFD396CA-51B7-4DE5-9249-7D8DEEBE206D}" id="{F6E07DBA-D747-4BF0-9E64-40BCE73CF98D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33" dT="2026-09-02T10:50:57.697" personId="{AFD396CA-51B7-4DE5-9249-7D8DEEBE206D}" id="{D7775CF0-319C-41AC-A8CB-87223699C11B}">
    <xltc:text>Approved after production browser review plus focused shared-contract tests. The production card is unrestricted (support=NULL) and therefore available in Forge/catalog selection.</xltc:text>
  </xltc:threadedComment>
  <xltc:threadedComment ref="P33" dT="2026-09-02T10:50:57.697" personId="{AFD396CA-51B7-4DE5-9249-7D8DEEBE206D}" id="{C6A00547-D694-42C7-958F-62D856C14500}">
    <xltc:text>Official 2024 equipment rule reference: https://www.dndbeyond.com/sources/dnd/br-2024/equipment</xltc:text>
  </xltc:threadedComment>
  <xltc:threadedComment ref="J34" dT="2026-09-02T10:50:57.697" personId="{AFD396CA-51B7-4DE5-9249-7D8DEEBE206D}" id="{90B151D6-D61B-4375-A068-7DCFE2E42C4E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34" dT="2026-09-02T10:50:57.697" personId="{AFD396CA-51B7-4DE5-9249-7D8DEEBE206D}" id="{F3948B94-C588-4F63-B1E9-1A8B37316D21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34" dT="2026-09-02T10:50:57.697" personId="{AFD396CA-51B7-4DE5-9249-7D8DEEBE206D}" id="{3892D731-E786-4834-A7DD-239B30F174A5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34" dT="2026-09-02T10:50:57.697" personId="{AFD396CA-51B7-4DE5-9249-7D8DEEBE206D}" id="{3D0C1DAC-2400-48FA-8278-08287B0B08E8}">
    <xltc:text>Approved after production browser review plus focused shared-contract tests. The production card is unrestricted (support=NULL) and therefore available in Forge/catalog selection.</xltc:text>
  </xltc:threadedComment>
  <xltc:threadedComment ref="P34" dT="2026-09-02T10:50:57.697" personId="{AFD396CA-51B7-4DE5-9249-7D8DEEBE206D}" id="{AEB55013-C29B-415F-8C2B-1933085C3F74}">
    <xltc:text>Official 2024 equipment rule reference: https://www.dndbeyond.com/sources/dnd/br-2024/equipment</xltc:text>
  </xltc:threadedComment>
  <xltc:threadedComment ref="J35" dT="2026-09-02T10:50:57.697" personId="{AFD396CA-51B7-4DE5-9249-7D8DEEBE206D}" id="{835D85CF-0665-4665-A1AA-907B6E841634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35" dT="2026-09-02T10:50:57.697" personId="{AFD396CA-51B7-4DE5-9249-7D8DEEBE206D}" id="{338CCE29-C0AF-4403-83C7-02D0DA88491A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35" dT="2026-09-02T10:50:57.697" personId="{AFD396CA-51B7-4DE5-9249-7D8DEEBE206D}" id="{E365117E-D847-44D7-9055-85978EFCBEDE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35" dT="2026-09-02T10:50:57.697" personId="{AFD396CA-51B7-4DE5-9249-7D8DEEBE206D}" id="{A9152EA0-8DA3-4228-A871-A00ECEE434D1}">
    <xltc:text>Approved after production browser review plus focused shared-contract tests. The production card is unrestricted (support=NULL) and therefore available in Forge/catalog selection.</xltc:text>
  </xltc:threadedComment>
  <xltc:threadedComment ref="P35" dT="2026-09-02T10:50:57.697" personId="{AFD396CA-51B7-4DE5-9249-7D8DEEBE206D}" id="{473A4238-13CE-44CA-8299-C3D767F5D720}">
    <xltc:text>Official 2024 equipment rule reference: https://www.dndbeyond.com/sources/dnd/br-2024/equipment</xltc:text>
  </xltc:threadedComment>
  <xltc:threadedComment ref="J36" dT="2026-09-02T10:50:57.697" personId="{AFD396CA-51B7-4DE5-9249-7D8DEEBE206D}" id="{55204F51-0572-4732-A371-F061B40F749B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36" dT="2026-09-02T10:50:57.697" personId="{AFD396CA-51B7-4DE5-9249-7D8DEEBE206D}" id="{CCF26D67-D2B7-4D16-9F2B-452D7CF2DBD8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36" dT="2026-09-02T10:50:57.697" personId="{AFD396CA-51B7-4DE5-9249-7D8DEEBE206D}" id="{5F47D950-7760-4983-B3FB-295855625389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36" dT="2026-09-02T10:50:57.697" personId="{AFD396CA-51B7-4DE5-9249-7D8DEEBE206D}" id="{77384B7C-058F-479A-92D3-FCDDA10A0F0C}">
    <xltc:text>Approved after production browser review plus focused shared-contract tests. The production card is unrestricted (support=NULL) and therefore available in Forge/catalog selection.</xltc:text>
  </xltc:threadedComment>
  <xltc:threadedComment ref="P36" dT="2026-09-02T10:50:57.697" personId="{AFD396CA-51B7-4DE5-9249-7D8DEEBE206D}" id="{1C70BA64-B988-456E-AD3F-55554C449E7D}">
    <xltc:text>Official 2024 equipment rule reference: https://www.dndbeyond.com/sources/dnd/br-2024/equipment</xltc:text>
  </xltc:threadedComment>
  <xltc:threadedComment ref="J37" dT="2026-09-02T10:50:57.697" personId="{AFD396CA-51B7-4DE5-9249-7D8DEEBE206D}" id="{1E15DCFC-18D6-4059-904E-DF1C0B44BF71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37" dT="2026-09-02T10:50:57.697" personId="{AFD396CA-51B7-4DE5-9249-7D8DEEBE206D}" id="{5E0A7B53-2B95-4909-9B1D-566C3BC27E9A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37" dT="2026-09-02T10:50:57.697" personId="{AFD396CA-51B7-4DE5-9249-7D8DEEBE206D}" id="{99D49B6E-B789-4AF6-B54B-2E3C9ED234E6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37" dT="2026-09-02T10:50:57.697" personId="{AFD396CA-51B7-4DE5-9249-7D8DEEBE206D}" id="{2516E192-4CE2-42CB-AC33-359B19F8942F}">
    <xltc:text>Approved after production browser review plus focused shared-contract tests. The production card is unrestricted (support=NULL) and therefore available in Forge/catalog selection.</xltc:text>
  </xltc:threadedComment>
  <xltc:threadedComment ref="P37" dT="2026-09-02T10:50:57.697" personId="{AFD396CA-51B7-4DE5-9249-7D8DEEBE206D}" id="{918F6C01-D235-4AAC-9D0A-C6B7321AA258}">
    <xltc:text>Official 2024 equipment rule reference: https://www.dndbeyond.com/sources/dnd/br-2024/equipment</xltc:text>
  </xltc:threadedComment>
  <xltc:threadedComment ref="J38" dT="2026-09-02T10:50:57.697" personId="{AFD396CA-51B7-4DE5-9249-7D8DEEBE206D}" id="{0F3D3AB3-B03B-4FB0-BCB2-4F5C0331BD5E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38" dT="2026-09-02T10:50:57.697" personId="{AFD396CA-51B7-4DE5-9249-7D8DEEBE206D}" id="{3BF531BC-A387-4F4A-8C1F-E397AB198F4E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38" dT="2026-09-02T10:50:57.697" personId="{AFD396CA-51B7-4DE5-9249-7D8DEEBE206D}" id="{EF8CD022-F78A-4A6A-AAB5-34FE9B6AED6D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38" dT="2026-09-02T10:50:57.697" personId="{AFD396CA-51B7-4DE5-9249-7D8DEEBE206D}" id="{53EC4D6A-627E-40DF-99AE-0F361D876C6B}">
    <xltc:text>Approved after production browser review plus focused shared-contract tests. The production card is unrestricted (support=NULL) and therefore available in Forge/catalog selection.</xltc:text>
  </xltc:threadedComment>
  <xltc:threadedComment ref="P38" dT="2026-09-02T10:50:57.697" personId="{AFD396CA-51B7-4DE5-9249-7D8DEEBE206D}" id="{04960BD7-8446-4635-A799-CC5A182D4A67}">
    <xltc:text>Official 2024 equipment rule reference: https://www.dndbeyond.com/sources/dnd/br-2024/equipment</xltc:text>
  </xltc:threadedComment>
  <xltc:threadedComment ref="J39" dT="2026-09-02T10:50:57.697" personId="{AFD396CA-51B7-4DE5-9249-7D8DEEBE206D}" id="{FCBF3CAF-43E8-41B0-8F45-70A9243A7184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39" dT="2026-09-02T10:50:57.697" personId="{AFD396CA-51B7-4DE5-9249-7D8DEEBE206D}" id="{F1B444F0-4F96-4DF5-BCC6-CCD05FF83DE2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39" dT="2026-09-02T10:50:57.697" personId="{AFD396CA-51B7-4DE5-9249-7D8DEEBE206D}" id="{C4A4E26E-655F-47E0-9983-8A789B3FFF9E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39" dT="2026-09-02T10:50:57.697" personId="{AFD396CA-51B7-4DE5-9249-7D8DEEBE206D}" id="{01D87BBE-60B2-45CB-90FC-048D9D2B2CB9}">
    <xltc:text>Approved after production browser review plus focused shared-contract tests. The production card is unrestricted (support=NULL) and therefore available in Forge/catalog selection.</xltc:text>
  </xltc:threadedComment>
  <xltc:threadedComment ref="P39" dT="2026-09-02T10:50:57.697" personId="{AFD396CA-51B7-4DE5-9249-7D8DEEBE206D}" id="{FD3CB1E2-B3C4-44D1-B39C-CAEF94A80AF4}">
    <xltc:text>Official 2024 equipment rule reference: https://www.dndbeyond.com/sources/dnd/br-2024/equipment</xltc:text>
  </xltc:threadedComment>
  <xltc:threadedComment ref="J40" dT="2026-09-02T10:50:57.697" personId="{AFD396CA-51B7-4DE5-9249-7D8DEEBE206D}" id="{D8A5846A-B92B-4CDC-97BD-BA0E41B9FBDA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40" dT="2026-09-02T10:50:57.697" personId="{AFD396CA-51B7-4DE5-9249-7D8DEEBE206D}" id="{F44BAB06-0E06-42CA-BC05-7738A7D25D7E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40" dT="2026-09-02T10:50:57.697" personId="{AFD396CA-51B7-4DE5-9249-7D8DEEBE206D}" id="{014EAE33-C219-40B9-8E25-0C1FC3A32078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40" dT="2026-09-02T10:50:57.697" personId="{AFD396CA-51B7-4DE5-9249-7D8DEEBE206D}" id="{3F2F5CEA-9884-4AE6-AE49-7EF002007D43}">
    <xltc:text>Approved after production browser review plus focused shared-contract tests. The production card is unrestricted (support=NULL) and therefore available in Forge/catalog selection.</xltc:text>
  </xltc:threadedComment>
  <xltc:threadedComment ref="P40" dT="2026-09-02T10:50:57.697" personId="{AFD396CA-51B7-4DE5-9249-7D8DEEBE206D}" id="{1D74F7D8-7AE3-4DCD-BCB9-159111E37413}">
    <xltc:text>Official 2024 equipment rule reference: https://www.dndbeyond.com/sources/dnd/br-2024/equipment</xltc:text>
  </xltc:threadedComment>
  <xltc:threadedComment ref="J41" dT="2026-09-02T10:50:57.697" personId="{AFD396CA-51B7-4DE5-9249-7D8DEEBE206D}" id="{A7F6C3B1-786D-4DF1-A018-9A3DC4CDDEF3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41" dT="2026-09-02T10:50:57.697" personId="{AFD396CA-51B7-4DE5-9249-7D8DEEBE206D}" id="{51D2D6AC-93D5-46AA-94CA-B7CB61FE1F54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41" dT="2026-09-02T10:50:57.697" personId="{AFD396CA-51B7-4DE5-9249-7D8DEEBE206D}" id="{B72FE7E8-658F-4B0F-9DCD-4B12D38BBC2D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41" dT="2026-09-02T10:50:57.697" personId="{AFD396CA-51B7-4DE5-9249-7D8DEEBE206D}" id="{D846EF9D-308A-47EE-A9EF-4F463B7CD9FA}">
    <xltc:text>Approved after production browser review plus focused shared-contract tests. The production card is unrestricted (support=NULL) and therefore available in Forge/catalog selection.</xltc:text>
  </xltc:threadedComment>
  <xltc:threadedComment ref="P41" dT="2026-09-02T10:50:57.697" personId="{AFD396CA-51B7-4DE5-9249-7D8DEEBE206D}" id="{5DFFDE75-E270-4FE3-A964-3063408D43B8}">
    <xltc:text>Official 2024 equipment rule reference: https://www.dndbeyond.com/sources/dnd/br-2024/equipment</xltc:text>
  </xltc:threadedComment>
  <xltc:threadedComment ref="J42" dT="2026-09-02T10:50:57.697" personId="{AFD396CA-51B7-4DE5-9249-7D8DEEBE206D}" id="{748E255F-78AD-44D2-BC0E-15537E46EBB7}">
    <xltc:text>Sheet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K42" dT="2026-09-02T10:50:57.697" personId="{AFD396CA-51B7-4DE5-9249-7D8DEEBE206D}" id="{102A58E1-D9C5-4C63-A889-BBF36225C57C}">
    <xltc:text>Combat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L42" dT="2026-09-02T10:50:57.697" personId="{AFD396CA-51B7-4DE5-9249-7D8DEEBE206D}" id="{9D204960-7157-4E2D-AA93-603FB879AC27}">
    <xltc:text>Clarity evidence: All 38 weapon cards were opened in the production sheet. Damage, melee/ranged modes, ranges, properties and localized mastery are visible. Shared live attack contract verified with Club (+5, 1d4+3, 5 ft, Slow); catalog and ammo bindings covered by focused executable contracts.</xltc:text>
  </xltc:threadedComment>
  <xltc:threadedComment ref="N42" dT="2026-09-02T10:50:57.697" personId="{AFD396CA-51B7-4DE5-9249-7D8DEEBE206D}" id="{07B37564-2BAF-4E6E-B1CE-D753816DC482}">
    <xltc:text>Approved after production browser review plus focused shared-contract tests. The production card is unrestricted (support=NULL) and therefore available in Forge/catalog selection.</xltc:text>
  </xltc:threadedComment>
  <xltc:threadedComment ref="P42" dT="2026-09-02T10:50:57.697" personId="{AFD396CA-51B7-4DE5-9249-7D8DEEBE206D}" id="{ADF04758-ABF6-44D2-B5A7-3376D8092A47}">
    <xltc:text>Official 2024 equipment rule reference: https://www.dndbeyond.com/sources/dnd/br-2024/equipment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J5" dT="2026-09-02T10:50:57.745" personId="{AFD396CA-51B7-4DE5-9249-7D8DEEBE206D}" id="{4E558972-780F-4640-93B1-BA8D361A1005}">
    <xltc:text>Sheet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K5" dT="2026-09-02T10:50:57.745" personId="{AFD396CA-51B7-4DE5-9249-7D8DEEBE206D}" id="{B26B228D-628B-408F-9702-0B92AD3923A4}">
    <xltc:text>Combat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L5" dT="2026-09-02T10:50:57.745" personId="{AFD396CA-51B7-4DE5-9249-7D8DEEBE206D}" id="{647AE75B-E0F7-4081-8537-5EA8E17A3EBC}">
    <xltc:text>Clarity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N5" dT="2026-09-02T10:50:57.745" personId="{AFD396CA-51B7-4DE5-9249-7D8DEEBE206D}" id="{14525B8E-E66F-4AB5-964A-1A70E06AEBD9}">
    <xltc:text>Approved after production browser review plus focused shared-contract tests. The production card is unrestricted (support=NULL) and therefore available in Forge/catalog selection.</xltc:text>
  </xltc:threadedComment>
  <xltc:threadedComment ref="P5" dT="2026-09-02T10:50:57.745" personId="{AFD396CA-51B7-4DE5-9249-7D8DEEBE206D}" id="{ABDA1E9D-6FC8-4009-AE2E-311087D3F495}">
    <xltc:text>Official 2024 equipment rule reference: https://www.dndbeyond.com/sources/dnd/br-2024/equipment</xltc:text>
  </xltc:threadedComment>
  <xltc:threadedComment ref="J6" dT="2026-09-02T10:50:57.745" personId="{AFD396CA-51B7-4DE5-9249-7D8DEEBE206D}" id="{D90FFCED-8E3B-41EA-A13C-22CCCC03B34B}">
    <xltc:text>Sheet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K6" dT="2026-09-02T10:50:57.745" personId="{AFD396CA-51B7-4DE5-9249-7D8DEEBE206D}" id="{B7BAFF3E-AE13-4C62-9888-1AC6CABE566C}">
    <xltc:text>Combat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L6" dT="2026-09-02T10:50:57.745" personId="{AFD396CA-51B7-4DE5-9249-7D8DEEBE206D}" id="{ED1E5E6B-B3AB-4DC8-A524-F0EFB21C23B3}">
    <xltc:text>Clarity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N6" dT="2026-09-02T10:50:57.745" personId="{AFD396CA-51B7-4DE5-9249-7D8DEEBE206D}" id="{BFE21436-0F34-45F7-840F-9F9C282193D7}">
    <xltc:text>Approved after production browser review plus focused shared-contract tests. The production card is unrestricted (support=NULL) and therefore available in Forge/catalog selection.</xltc:text>
  </xltc:threadedComment>
  <xltc:threadedComment ref="P6" dT="2026-09-02T10:50:57.745" personId="{AFD396CA-51B7-4DE5-9249-7D8DEEBE206D}" id="{9C94F0C8-6ACA-4784-AFF0-E279E2EFA55E}">
    <xltc:text>Official 2024 equipment rule reference: https://www.dndbeyond.com/sources/dnd/br-2024/equipment</xltc:text>
  </xltc:threadedComment>
  <xltc:threadedComment ref="J7" dT="2026-09-02T10:50:57.745" personId="{AFD396CA-51B7-4DE5-9249-7D8DEEBE206D}" id="{D2FB135D-1CC6-438D-AB97-38117B93D114}">
    <xltc:text>Sheet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K7" dT="2026-09-02T10:50:57.745" personId="{AFD396CA-51B7-4DE5-9249-7D8DEEBE206D}" id="{7B16EF01-31D0-4DDE-981C-E1F3B40FB196}">
    <xltc:text>Combat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L7" dT="2026-09-02T10:50:57.745" personId="{AFD396CA-51B7-4DE5-9249-7D8DEEBE206D}" id="{00E67427-879F-4639-9240-C27CD3FCD12B}">
    <xltc:text>Clarity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N7" dT="2026-09-02T10:50:57.745" personId="{AFD396CA-51B7-4DE5-9249-7D8DEEBE206D}" id="{B5D6A57D-9280-40D6-B8D0-400B56A69B4A}">
    <xltc:text>Approved after production browser review plus focused shared-contract tests. The production card is unrestricted (support=NULL) and therefore available in Forge/catalog selection.</xltc:text>
  </xltc:threadedComment>
  <xltc:threadedComment ref="P7" dT="2026-09-02T10:50:57.745" personId="{AFD396CA-51B7-4DE5-9249-7D8DEEBE206D}" id="{83B9D689-B2DD-471F-AAEE-FCFDFA1E2464}">
    <xltc:text>Official 2024 equipment rule reference: https://www.dndbeyond.com/sources/dnd/br-2024/equipment</xltc:text>
  </xltc:threadedComment>
  <xltc:threadedComment ref="J8" dT="2026-09-02T10:50:57.745" personId="{AFD396CA-51B7-4DE5-9249-7D8DEEBE206D}" id="{0A0EB6F0-F29A-42A0-919F-F99DF3AD9467}">
    <xltc:text>Sheet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K8" dT="2026-09-02T10:50:57.745" personId="{AFD396CA-51B7-4DE5-9249-7D8DEEBE206D}" id="{79F998B5-05C6-427B-BA4D-7312E7AEDE74}">
    <xltc:text>Combat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L8" dT="2026-09-02T10:50:57.745" personId="{AFD396CA-51B7-4DE5-9249-7D8DEEBE206D}" id="{BFA92A88-E5C7-4EE2-81B2-DCBE62BBE8C5}">
    <xltc:text>Clarity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N8" dT="2026-09-02T10:50:57.745" personId="{AFD396CA-51B7-4DE5-9249-7D8DEEBE206D}" id="{82984137-5D87-4C07-9662-5E93B7D357F8}">
    <xltc:text>Approved after production browser review plus focused shared-contract tests. The production card is unrestricted (support=NULL) and therefore available in Forge/catalog selection.</xltc:text>
  </xltc:threadedComment>
  <xltc:threadedComment ref="P8" dT="2026-09-02T10:50:57.745" personId="{AFD396CA-51B7-4DE5-9249-7D8DEEBE206D}" id="{7EF2C634-AF3B-4EB9-8F25-6C88C90DE982}">
    <xltc:text>Official 2024 equipment rule reference: https://www.dndbeyond.com/sources/dnd/br-2024/equipment</xltc:text>
  </xltc:threadedComment>
  <xltc:threadedComment ref="J9" dT="2026-09-02T10:50:57.745" personId="{AFD396CA-51B7-4DE5-9249-7D8DEEBE206D}" id="{86F14893-B9AA-4855-A315-DBAD18725E46}">
    <xltc:text>Sheet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K9" dT="2026-09-02T10:50:57.745" personId="{AFD396CA-51B7-4DE5-9249-7D8DEEBE206D}" id="{C7F18397-08A4-4CF2-9FCA-3B3227475186}">
    <xltc:text>Combat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L9" dT="2026-09-02T10:50:57.745" personId="{AFD396CA-51B7-4DE5-9249-7D8DEEBE206D}" id="{700357D4-0465-47F5-94B5-643F202533A2}">
    <xltc:text>Clarity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N9" dT="2026-09-02T10:50:57.745" personId="{AFD396CA-51B7-4DE5-9249-7D8DEEBE206D}" id="{1071B895-3C97-4E4B-9EA9-823B5BD696EB}">
    <xltc:text>Approved after production browser review plus focused shared-contract tests. The production card is unrestricted (support=NULL) and therefore available in Forge/catalog selection.</xltc:text>
  </xltc:threadedComment>
  <xltc:threadedComment ref="P9" dT="2026-09-02T10:50:57.745" personId="{AFD396CA-51B7-4DE5-9249-7D8DEEBE206D}" id="{341C1BFA-F3B6-42B5-BBB4-A93C398224DC}">
    <xltc:text>Official 2024 equipment rule reference: https://www.dndbeyond.com/sources/dnd/br-2024/equipment</xltc:text>
  </xltc:threadedComment>
  <xltc:threadedComment ref="J10" dT="2026-09-02T10:50:57.745" personId="{AFD396CA-51B7-4DE5-9249-7D8DEEBE206D}" id="{71873DB6-B839-469B-B786-DE3B6E52238C}">
    <xltc:text>Sheet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K10" dT="2026-09-02T10:50:57.745" personId="{AFD396CA-51B7-4DE5-9249-7D8DEEBE206D}" id="{A1EE8C0E-AB09-4684-826D-485D1C797CCE}">
    <xltc:text>Combat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L10" dT="2026-09-02T10:50:57.745" personId="{AFD396CA-51B7-4DE5-9249-7D8DEEBE206D}" id="{27EBE84A-4ABF-4958-BF19-BB88E0AE500B}">
    <xltc:text>Clarity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N10" dT="2026-09-02T10:50:57.745" personId="{AFD396CA-51B7-4DE5-9249-7D8DEEBE206D}" id="{43C89B4B-876D-4CED-B100-B419E2D82B38}">
    <xltc:text>Approved after production browser review plus focused shared-contract tests. The production card is unrestricted (support=NULL) and therefore available in Forge/catalog selection.</xltc:text>
  </xltc:threadedComment>
  <xltc:threadedComment ref="P10" dT="2026-09-02T10:50:57.745" personId="{AFD396CA-51B7-4DE5-9249-7D8DEEBE206D}" id="{4C4B1B8C-0F80-4FA0-AD07-9F1E58AA2B5B}">
    <xltc:text>Official 2024 equipment rule reference: https://www.dndbeyond.com/sources/dnd/br-2024/equipment</xltc:text>
  </xltc:threadedComment>
  <xltc:threadedComment ref="J11" dT="2026-09-02T10:50:57.745" personId="{AFD396CA-51B7-4DE5-9249-7D8DEEBE206D}" id="{32A6168C-0E5F-49D4-8F99-8A0A6DAF7BA4}">
    <xltc:text>Sheet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K11" dT="2026-09-02T10:50:57.745" personId="{AFD396CA-51B7-4DE5-9249-7D8DEEBE206D}" id="{9A1C9DC4-B462-4F73-8159-DB8FF1AA39EC}">
    <xltc:text>Combat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L11" dT="2026-09-02T10:50:57.745" personId="{AFD396CA-51B7-4DE5-9249-7D8DEEBE206D}" id="{C0CCACFB-3DD2-4B1A-AADE-C7BEC372D76D}">
    <xltc:text>Clarity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N11" dT="2026-09-02T10:50:57.745" personId="{AFD396CA-51B7-4DE5-9249-7D8DEEBE206D}" id="{922653C6-782E-4A65-9426-F824E2877827}">
    <xltc:text>Approved after production browser review plus focused shared-contract tests. The production card is unrestricted (support=NULL) and therefore available in Forge/catalog selection.</xltc:text>
  </xltc:threadedComment>
  <xltc:threadedComment ref="P11" dT="2026-09-02T10:50:57.745" personId="{AFD396CA-51B7-4DE5-9249-7D8DEEBE206D}" id="{A135330E-69D4-4273-911C-F563F517AD34}">
    <xltc:text>Official 2024 equipment rule reference: https://www.dndbeyond.com/sources/dnd/br-2024/equipment</xltc:text>
  </xltc:threadedComment>
  <xltc:threadedComment ref="J12" dT="2026-09-02T10:50:57.745" personId="{AFD396CA-51B7-4DE5-9249-7D8DEEBE206D}" id="{23270423-E73E-4362-92DA-149A22E9E4BB}">
    <xltc:text>Sheet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K12" dT="2026-09-02T10:50:57.745" personId="{AFD396CA-51B7-4DE5-9249-7D8DEEBE206D}" id="{F0AD6F7B-088D-46C6-848F-C323814BA1E9}">
    <xltc:text>Combat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L12" dT="2026-09-02T10:50:57.745" personId="{AFD396CA-51B7-4DE5-9249-7D8DEEBE206D}" id="{878E3FCD-3C20-4847-8610-641F5E69AC77}">
    <xltc:text>Clarity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N12" dT="2026-09-02T10:50:57.745" personId="{AFD396CA-51B7-4DE5-9249-7D8DEEBE206D}" id="{DDBC0E7C-2CDB-4503-8909-7327E97D14D4}">
    <xltc:text>Approved after production browser review plus focused shared-contract tests. The production card is unrestricted (support=NULL) and therefore available in Forge/catalog selection.</xltc:text>
  </xltc:threadedComment>
  <xltc:threadedComment ref="P12" dT="2026-09-02T10:50:57.745" personId="{AFD396CA-51B7-4DE5-9249-7D8DEEBE206D}" id="{FE88802F-AB91-469B-9C09-A63A65E90711}">
    <xltc:text>Official 2024 equipment rule reference: https://www.dndbeyond.com/sources/dnd/br-2024/equipment</xltc:text>
  </xltc:threadedComment>
  <xltc:threadedComment ref="J13" dT="2026-09-02T10:50:57.745" personId="{AFD396CA-51B7-4DE5-9249-7D8DEEBE206D}" id="{9222FCE7-6DC7-4F34-993E-9E8F49375DB7}">
    <xltc:text>Sheet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K13" dT="2026-09-02T10:50:57.745" personId="{AFD396CA-51B7-4DE5-9249-7D8DEEBE206D}" id="{404769EC-8CD7-46C7-A82C-8B79536B8CE8}">
    <xltc:text>Combat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L13" dT="2026-09-02T10:50:57.745" personId="{AFD396CA-51B7-4DE5-9249-7D8DEEBE206D}" id="{2256BCEB-4BE1-478F-B84B-5FF28937DEB5}">
    <xltc:text>Clarity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N13" dT="2026-09-02T10:50:57.745" personId="{AFD396CA-51B7-4DE5-9249-7D8DEEBE206D}" id="{8A95CC9C-7020-493C-87D6-AB945A20FC96}">
    <xltc:text>Approved after production browser review plus focused shared-contract tests. The production card is unrestricted (support=NULL) and therefore available in Forge/catalog selection.</xltc:text>
  </xltc:threadedComment>
  <xltc:threadedComment ref="P13" dT="2026-09-02T10:50:57.745" personId="{AFD396CA-51B7-4DE5-9249-7D8DEEBE206D}" id="{C7724572-4D88-4A86-AE68-CFA4DD81427A}">
    <xltc:text>Official 2024 equipment rule reference: https://www.dndbeyond.com/sources/dnd/br-2024/equipment</xltc:text>
  </xltc:threadedComment>
  <xltc:threadedComment ref="J14" dT="2026-09-02T10:50:57.745" personId="{AFD396CA-51B7-4DE5-9249-7D8DEEBE206D}" id="{7C20AD2A-A812-4452-975D-ED72BF749725}">
    <xltc:text>Sheet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K14" dT="2026-09-02T10:50:57.745" personId="{AFD396CA-51B7-4DE5-9249-7D8DEEBE206D}" id="{736BD9B6-3B6F-4603-8AD0-64266E4A4A3C}">
    <xltc:text>Combat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L14" dT="2026-09-02T10:50:57.745" personId="{AFD396CA-51B7-4DE5-9249-7D8DEEBE206D}" id="{F82C3F9F-37F1-4D4E-920B-FD6369BC7E53}">
    <xltc:text>Clarity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N14" dT="2026-09-02T10:50:57.745" personId="{AFD396CA-51B7-4DE5-9249-7D8DEEBE206D}" id="{262EC1C5-4BEF-4C08-BBCF-3E1D86314A6C}">
    <xltc:text>Approved after production browser review plus focused shared-contract tests. The production card is unrestricted (support=NULL) and therefore available in Forge/catalog selection.</xltc:text>
  </xltc:threadedComment>
  <xltc:threadedComment ref="P14" dT="2026-09-02T10:50:57.745" personId="{AFD396CA-51B7-4DE5-9249-7D8DEEBE206D}" id="{8EC08046-B6D0-48F9-867F-6F6E2A038D47}">
    <xltc:text>Official 2024 equipment rule reference: https://www.dndbeyond.com/sources/dnd/br-2024/equipment</xltc:text>
  </xltc:threadedComment>
  <xltc:threadedComment ref="J15" dT="2026-09-02T10:50:57.745" personId="{AFD396CA-51B7-4DE5-9249-7D8DEEBE206D}" id="{82AB8383-5F3E-4F8B-8BD5-8D61E6F1C635}">
    <xltc:text>Sheet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K15" dT="2026-09-02T10:50:57.745" personId="{AFD396CA-51B7-4DE5-9249-7D8DEEBE206D}" id="{938C0979-8116-4C7C-8D60-C1E7FB4079BA}">
    <xltc:text>Combat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L15" dT="2026-09-02T10:50:57.745" personId="{AFD396CA-51B7-4DE5-9249-7D8DEEBE206D}" id="{BF13D553-E4EB-4663-BFFB-839FBA174460}">
    <xltc:text>Clarity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N15" dT="2026-09-02T10:50:57.745" personId="{AFD396CA-51B7-4DE5-9249-7D8DEEBE206D}" id="{9C36F558-F25F-4590-8ABE-2284A55C7E20}">
    <xltc:text>Approved after production browser review plus focused shared-contract tests. The production card is unrestricted (support=NULL) and therefore available in Forge/catalog selection.</xltc:text>
  </xltc:threadedComment>
  <xltc:threadedComment ref="P15" dT="2026-09-02T10:50:57.745" personId="{AFD396CA-51B7-4DE5-9249-7D8DEEBE206D}" id="{E4BCC084-EDC1-4D77-A177-46EC9CCB58A9}">
    <xltc:text>Official 2024 equipment rule reference: https://www.dndbeyond.com/sources/dnd/br-2024/equipment</xltc:text>
  </xltc:threadedComment>
  <xltc:threadedComment ref="J16" dT="2026-09-02T10:50:57.745" personId="{AFD396CA-51B7-4DE5-9249-7D8DEEBE206D}" id="{EBCFCC73-4499-4829-B971-D249D419F323}">
    <xltc:text>Sheet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K16" dT="2026-09-02T10:50:57.745" personId="{AFD396CA-51B7-4DE5-9249-7D8DEEBE206D}" id="{7FE14EA2-1400-482A-AC10-1E3DBA59DD55}">
    <xltc:text>Combat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L16" dT="2026-09-02T10:50:57.745" personId="{AFD396CA-51B7-4DE5-9249-7D8DEEBE206D}" id="{FC176F34-3600-444F-AA6F-2AE2FB9EDE26}">
    <xltc:text>Clarity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N16" dT="2026-09-02T10:50:57.745" personId="{AFD396CA-51B7-4DE5-9249-7D8DEEBE206D}" id="{2A38EC55-53E4-4F1B-B828-FD6D0F8A3EBE}">
    <xltc:text>Approved after production browser review plus focused shared-contract tests. The production card is unrestricted (support=NULL) and therefore available in Forge/catalog selection.</xltc:text>
  </xltc:threadedComment>
  <xltc:threadedComment ref="P16" dT="2026-09-02T10:50:57.745" personId="{AFD396CA-51B7-4DE5-9249-7D8DEEBE206D}" id="{8B512DB2-6AE5-473D-A617-49F946A5FB33}">
    <xltc:text>Official 2024 equipment rule reference: https://www.dndbeyond.com/sources/dnd/br-2024/equipment</xltc:text>
  </xltc:threadedComment>
  <xltc:threadedComment ref="J17" dT="2026-09-02T10:50:57.745" personId="{AFD396CA-51B7-4DE5-9249-7D8DEEBE206D}" id="{8733686C-1B1E-4127-B0DD-AB50D05710B5}">
    <xltc:text>Sheet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K17" dT="2026-09-02T10:50:57.745" personId="{AFD396CA-51B7-4DE5-9249-7D8DEEBE206D}" id="{B4CA6079-32BC-4F0E-B89A-1A25ADE5568A}">
    <xltc:text>Combat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L17" dT="2026-09-02T10:50:57.745" personId="{AFD396CA-51B7-4DE5-9249-7D8DEEBE206D}" id="{AB5D9F32-0C7F-4CFC-B253-AAF709032134}">
    <xltc:text>Clarity evidence: Production equip pass: all body armor AC values matched the 2024 formulas (including Defense +1), Shield added +2. Untrained Chain Mail showed speed 20, disabled spells, and 2d20 Strength/Dexterity d20 tests.</xltc:text>
  </xltc:threadedComment>
  <xltc:threadedComment ref="N17" dT="2026-09-02T10:50:57.745" personId="{AFD396CA-51B7-4DE5-9249-7D8DEEBE206D}" id="{7DE0A5C5-41F5-4627-A8D6-8F491CB0AD2B}">
    <xltc:text>Approved after production browser review plus focused shared-contract tests. The production card is unrestricted (support=NULL) and therefore available in Forge/catalog selection.</xltc:text>
  </xltc:threadedComment>
  <xltc:threadedComment ref="P17" dT="2026-09-02T10:50:57.745" personId="{AFD396CA-51B7-4DE5-9249-7D8DEEBE206D}" id="{03003EE0-6D1D-4FC8-A961-AD2BFB15B873}">
    <xltc:text>Official 2024 equipment rule reference: https://www.dndbeyond.com/sources/dnd/br-2024/equipment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J5" dT="2026-09-02T10:50:57.773" personId="{AFD396CA-51B7-4DE5-9249-7D8DEEBE206D}" id="{8D36D7C1-83E6-4E7A-B7D1-9EA22658A6F4}">
    <xltc:text>Sheet evidence: Browser: target save, action and one item consumed (20→19); journal clearly reports the damage interaction.</xltc:text>
  </xltc:threadedComment>
  <xltc:threadedComment ref="K5" dT="2026-09-02T10:50:57.773" personId="{AFD396CA-51B7-4DE5-9249-7D8DEEBE206D}" id="{AFC1A13A-A64D-4CEE-BD45-ED9AC19CB883}">
    <xltc:text>Combat evidence: Browser: target save, action and one item consumed (20→19); journal clearly reports the damage interaction.</xltc:text>
  </xltc:threadedComment>
  <xltc:threadedComment ref="L5" dT="2026-09-02T10:50:57.773" personId="{AFD396CA-51B7-4DE5-9249-7D8DEEBE206D}" id="{88623476-8DEA-49B6-AA4E-272B0C70DCF5}">
    <xltc:text>Clarity evidence: Browser: target save, action and one item consumed (20→19); journal clearly reports the damage interaction.</xltc:text>
  </xltc:threadedComment>
  <xltc:threadedComment ref="N5" dT="2026-09-02T10:50:57.773" personId="{AFD396CA-51B7-4DE5-9249-7D8DEEBE206D}" id="{8AAA900C-3EC4-4878-A80D-7BA48EA98175}">
    <xltc:text>Approved after production browser review plus focused shared-contract tests. The production card is unrestricted (support=NULL) and therefore available in Forge/catalog selection.</xltc:text>
  </xltc:threadedComment>
  <xltc:threadedComment ref="P5" dT="2026-09-02T10:50:57.773" personId="{AFD396CA-51B7-4DE5-9249-7D8DEEBE206D}" id="{A27A9811-98C7-41C2-A727-2E438F89F1FD}">
    <xltc:text>Official 2024 equipment rule reference: https://www.dndbeyond.com/sources/dnd/br-2024/equipment</xltc:text>
  </xltc:threadedComment>
  <xltc:threadedComment ref="J6" dT="2026-09-02T10:50:57.773" personId="{AFD396CA-51B7-4DE5-9249-7D8DEEBE206D}" id="{AA053250-2002-4F95-9C48-4C6CD8EF7655}">
    <xltc:text>Sheet evidence: Browser: controlled failed save dealt 4 fire, consumed the item, and created a visible manual-duration burning effect on the target.</xltc:text>
  </xltc:threadedComment>
  <xltc:threadedComment ref="K6" dT="2026-09-02T10:50:57.774" personId="{AFD396CA-51B7-4DE5-9249-7D8DEEBE206D}" id="{6BCAF1A5-88CF-4241-8D41-B1DB654BBFE5}">
    <xltc:text>Combat evidence: Browser: controlled failed save dealt 4 fire, consumed the item, and created a visible manual-duration burning effect on the target.</xltc:text>
  </xltc:threadedComment>
  <xltc:threadedComment ref="L6" dT="2026-09-02T10:50:57.774" personId="{AFD396CA-51B7-4DE5-9249-7D8DEEBE206D}" id="{48BBBB7F-80AC-42E2-B8FC-A84AF21C7B5D}">
    <xltc:text>Clarity evidence: Browser: controlled failed save dealt 4 fire, consumed the item, and created a visible manual-duration burning effect on the target.</xltc:text>
  </xltc:threadedComment>
  <xltc:threadedComment ref="N6" dT="2026-09-02T10:50:57.774" personId="{AFD396CA-51B7-4DE5-9249-7D8DEEBE206D}" id="{C0EFD77D-5891-49AF-88E2-F6A66B23BF70}">
    <xltc:text>Approved after production browser review plus focused shared-contract tests. The production card is unrestricted (support=NULL) and therefore available in Forge/catalog selection.</xltc:text>
  </xltc:threadedComment>
  <xltc:threadedComment ref="P6" dT="2026-09-02T10:50:57.774" personId="{AFD396CA-51B7-4DE5-9249-7D8DEEBE206D}" id="{D7A2E2BD-B445-4334-9B84-BC9F554E1623}">
    <xltc:text>Official 2024 equipment rule reference: https://www.dndbeyond.com/sources/dnd/br-2024/equipment</xltc:text>
  </xltc:threadedComment>
  <xltc:threadedComment ref="J7" dT="2026-09-02T10:50:57.774" personId="{AFD396CA-51B7-4DE5-9249-7D8DEEBE206D}" id="{374E11A6-3B66-4583-941A-E8500B595393}">
    <xltc:text>Sheet evidence: Browser: bonus action and one item consumed; one-hour save-advantage effect is visible on the sheet.</xltc:text>
  </xltc:threadedComment>
  <xltc:threadedComment ref="K7" dT="2026-09-02T10:50:57.774" personId="{AFD396CA-51B7-4DE5-9249-7D8DEEBE206D}" id="{4D683E4D-9866-470D-8644-094DB7A055D5}">
    <xltc:text>Combat evidence: Browser: bonus action and one item consumed; one-hour save-advantage effect is visible on the sheet.</xltc:text>
  </xltc:threadedComment>
  <xltc:threadedComment ref="L7" dT="2026-09-02T10:50:57.774" personId="{AFD396CA-51B7-4DE5-9249-7D8DEEBE206D}" id="{EFB0E112-BC36-41EC-BF8C-710CE92975C5}">
    <xltc:text>Clarity evidence: Browser: bonus action and one item consumed; one-hour save-advantage effect is visible on the sheet.</xltc:text>
  </xltc:threadedComment>
  <xltc:threadedComment ref="N7" dT="2026-09-02T10:50:57.774" personId="{AFD396CA-51B7-4DE5-9249-7D8DEEBE206D}" id="{F2F1A242-78D5-4740-B260-E50788897E99}">
    <xltc:text>Approved after production browser review plus focused shared-contract tests. The production card is unrestricted (support=NULL) and therefore available in Forge/catalog selection.</xltc:text>
  </xltc:threadedComment>
  <xltc:threadedComment ref="P7" dT="2026-09-02T10:50:57.774" personId="{AFD396CA-51B7-4DE5-9249-7D8DEEBE206D}" id="{FD57E51A-A067-4071-AA8F-7248D39DB852}">
    <xltc:text>Official 2024 equipment rule reference: https://www.dndbeyond.com/sources/dnd/br-2024/equipment</xltc:text>
  </xltc:threadedComment>
  <xltc:threadedComment ref="J8" dT="2026-09-02T10:50:57.774" personId="{AFD396CA-51B7-4DE5-9249-7D8DEEBE206D}" id="{A8653111-A93D-4E43-8BE8-9EB8B31C482A}">
    <xltc:text>Sheet evidence: Browser: selected ally at 0 HP; uses pool initialized at 10, charge spent (8→7 in final pass), target persisted stable=true and dead=false.</xltc:text>
  </xltc:threadedComment>
  <xltc:threadedComment ref="K8" dT="2026-09-02T10:50:57.774" personId="{AFD396CA-51B7-4DE5-9249-7D8DEEBE206D}" id="{F03AAA8D-1035-45D5-AB98-219F476778C8}">
    <xltc:text>Combat evidence: Browser: selected ally at 0 HP; uses pool initialized at 10, charge spent (8→7 in final pass), target persisted stable=true and dead=false.</xltc:text>
  </xltc:threadedComment>
  <xltc:threadedComment ref="L8" dT="2026-09-02T10:50:57.774" personId="{AFD396CA-51B7-4DE5-9249-7D8DEEBE206D}" id="{5206AB9D-F11C-40E4-A9DB-6050769602A8}">
    <xltc:text>Clarity evidence: Browser: selected ally at 0 HP; uses pool initialized at 10, charge spent (8→7 in final pass), target persisted stable=true and dead=false.</xltc:text>
  </xltc:threadedComment>
  <xltc:threadedComment ref="N8" dT="2026-09-02T10:50:57.774" personId="{AFD396CA-51B7-4DE5-9249-7D8DEEBE206D}" id="{8E048246-6ECB-4403-A1D4-EBB005AEC481}">
    <xltc:text>Approved after production browser review plus focused shared-contract tests. The production card is unrestricted (support=NULL) and therefore available in Forge/catalog selection.</xltc:text>
  </xltc:threadedComment>
  <xltc:threadedComment ref="P8" dT="2026-09-02T10:50:57.774" personId="{AFD396CA-51B7-4DE5-9249-7D8DEEBE206D}" id="{573C0B3B-3253-40F8-A530-F9689E388772}">
    <xltc:text>Official 2024 equipment rule reference: https://www.dndbeyond.com/sources/dnd/br-2024/equipment</xltc:text>
  </xltc:threadedComment>
  <xltc:threadedComment ref="J9" dT="2026-09-02T10:50:57.774" personId="{AFD396CA-51B7-4DE5-9249-7D8DEEBE206D}" id="{CEAEFAE7-679F-4665-8A53-1E7C19D65E1A}">
    <xltc:text>Sheet evidence: Browser: normal character auto-succeeded without a die or damage; action/item spent and journal explains the fiend/undead restriction.</xltc:text>
  </xltc:threadedComment>
  <xltc:threadedComment ref="K9" dT="2026-09-02T10:50:57.774" personId="{AFD396CA-51B7-4DE5-9249-7D8DEEBE206D}" id="{BFA09338-065E-47B6-B03B-6145F2E25E2F}">
    <xltc:text>Combat evidence: Browser: normal character auto-succeeded without a die or damage; action/item spent and journal explains the fiend/undead restriction.</xltc:text>
  </xltc:threadedComment>
  <xltc:threadedComment ref="L9" dT="2026-09-02T10:50:57.774" personId="{AFD396CA-51B7-4DE5-9249-7D8DEEBE206D}" id="{716BD8CC-06D8-4553-9F6B-8904A408F3DD}">
    <xltc:text>Clarity evidence: Browser: normal character auto-succeeded without a die or damage; action/item spent and journal explains the fiend/undead restriction.</xltc:text>
  </xltc:threadedComment>
  <xltc:threadedComment ref="N9" dT="2026-09-02T10:50:57.774" personId="{AFD396CA-51B7-4DE5-9249-7D8DEEBE206D}" id="{FF05F9A1-FFFF-4D7B-A668-48A196D33500}">
    <xltc:text>Approved after production browser review plus focused shared-contract tests. The production card is unrestricted (support=NULL) and therefore available in Forge/catalog selection.</xltc:text>
  </xltc:threadedComment>
  <xltc:threadedComment ref="P9" dT="2026-09-02T10:50:57.774" personId="{AFD396CA-51B7-4DE5-9249-7D8DEEBE206D}" id="{5A10AB86-D3B2-4509-8DA1-6C9AC46DE408}">
    <xltc:text>Official 2024 equipment rule reference: https://www.dndbeyond.com/sources/dnd/br-2024/equipment</xltc:text>
  </xltc:threadedComment>
  <xltc:threadedComment ref="J10" dT="2026-09-02T10:50:57.774" personId="{AFD396CA-51B7-4DE5-9249-7D8DEEBE206D}" id="{5E2FC904-F04E-481F-B8EB-E1362EB1CC74}">
    <xltc:text>Sheet evidence: Browser: action/item spent and a visible 5-foot oil-zone effect was created.</xltc:text>
  </xltc:threadedComment>
  <xltc:threadedComment ref="K10" dT="2026-09-02T10:50:57.774" personId="{AFD396CA-51B7-4DE5-9249-7D8DEEBE206D}" id="{5D66CC30-177A-45B4-B4DE-FAC87866FE73}">
    <xltc:text>Combat evidence: Browser: action/item spent and a visible 5-foot oil-zone effect was created.</xltc:text>
  </xltc:threadedComment>
  <xltc:threadedComment ref="L10" dT="2026-09-02T10:50:57.774" personId="{AFD396CA-51B7-4DE5-9249-7D8DEEBE206D}" id="{3DDEABB3-0D16-4113-9587-115B8C7715DF}">
    <xltc:text>Clarity evidence: Browser: action/item spent and a visible 5-foot oil-zone effect was created.</xltc:text>
  </xltc:threadedComment>
  <xltc:threadedComment ref="N10" dT="2026-09-02T10:50:57.774" personId="{AFD396CA-51B7-4DE5-9249-7D8DEEBE206D}" id="{59631E41-612D-44FE-BF8C-7C10E26A35EF}">
    <xltc:text>Approved after production browser review plus focused shared-contract tests. The production card is unrestricted (support=NULL) and therefore available in Forge/catalog selection.</xltc:text>
  </xltc:threadedComment>
  <xltc:threadedComment ref="P10" dT="2026-09-02T10:50:57.774" personId="{AFD396CA-51B7-4DE5-9249-7D8DEEBE206D}" id="{5DA8CE0B-EFB7-4FC9-A379-5E90AD7C4BC5}">
    <xltc:text>Official 2024 equipment rule reference: https://www.dndbeyond.com/sources/dnd/br-2024/equipment</xltc:text>
  </xltc:threadedComment>
  <xltc:threadedComment ref="J11" dT="2026-09-02T10:50:57.774" personId="{AFD396CA-51B7-4DE5-9249-7D8DEEBE206D}" id="{9251B4E0-9883-4EB1-A4D3-3DEA398B9C01}">
    <xltc:text>Sheet evidence: Browser: bonus action/item spent; visible one-hit weapon damage rider created with a 10-turn limit.</xltc:text>
  </xltc:threadedComment>
  <xltc:threadedComment ref="K11" dT="2026-09-02T10:50:57.774" personId="{AFD396CA-51B7-4DE5-9249-7D8DEEBE206D}" id="{9853941A-A099-4EDA-9E69-2164149418AE}">
    <xltc:text>Combat evidence: Browser: bonus action/item spent; visible one-hit weapon damage rider created with a 10-turn limit.</xltc:text>
  </xltc:threadedComment>
  <xltc:threadedComment ref="L11" dT="2026-09-02T10:50:57.774" personId="{AFD396CA-51B7-4DE5-9249-7D8DEEBE206D}" id="{9FF485B5-AD5F-4346-9D23-7A9B49FD29B9}">
    <xltc:text>Clarity evidence: Browser: bonus action/item spent; visible one-hit weapon damage rider created with a 10-turn limit.</xltc:text>
  </xltc:threadedComment>
  <xltc:threadedComment ref="N11" dT="2026-09-02T10:50:57.774" personId="{AFD396CA-51B7-4DE5-9249-7D8DEEBE206D}" id="{78B2BAE9-6E86-406C-8D29-CBA514E7F359}">
    <xltc:text>Approved after production browser review plus focused shared-contract tests. The production card is unrestricted (support=NULL) and therefore available in Forge/catalog selection.</xltc:text>
  </xltc:threadedComment>
  <xltc:threadedComment ref="P11" dT="2026-09-02T10:50:57.774" personId="{AFD396CA-51B7-4DE5-9249-7D8DEEBE206D}" id="{0673BF6B-D5FB-451B-9BA4-72361594E040}">
    <xltc:text>Official 2024 equipment rule reference: https://www.dndbeyond.com/sources/dnd/br-2024/equipment</xltc:text>
  </xltc:threadedComment>
  <xltc:threadedComment ref="J12" dT="2026-09-02T10:50:57.774" personId="{AFD396CA-51B7-4DE5-9249-7D8DEEBE206D}" id="{10BF58B9-61FA-4322-B284-DDD838117EDC}">
    <xltc:text>Sheet evidence: Browser: damaged user healed 7→12, potion 12→11, item spent; journal reports 4 HP restored.</xltc:text>
  </xltc:threadedComment>
  <xltc:threadedComment ref="K12" dT="2026-09-02T10:50:57.774" personId="{AFD396CA-51B7-4DE5-9249-7D8DEEBE206D}" id="{7A6E4F29-711F-4A8B-9501-40314DB66849}">
    <xltc:text>Combat evidence: Browser: damaged user healed 7→12, potion 12→11, item spent; journal reports 4 HP restored.</xltc:text>
  </xltc:threadedComment>
  <xltc:threadedComment ref="L12" dT="2026-09-02T10:50:57.774" personId="{AFD396CA-51B7-4DE5-9249-7D8DEEBE206D}" id="{A311641B-7A37-4BCD-A5CD-B5BDD2ABFC69}">
    <xltc:text>Clarity evidence: Browser: damaged user healed 7→12, potion 12→11, item spent; journal reports 4 HP restored.</xltc:text>
  </xltc:threadedComment>
  <xltc:threadedComment ref="N12" dT="2026-09-02T10:50:57.774" personId="{AFD396CA-51B7-4DE5-9249-7D8DEEBE206D}" id="{1D968EFE-3A70-444A-9E53-0F82B451B89A}">
    <xltc:text>Approved after production browser review plus focused shared-contract tests. The production card is unrestricted (support=NULL) and therefore available in Forge/catalog selection.</xltc:text>
  </xltc:threadedComment>
  <xltc:threadedComment ref="P12" dT="2026-09-02T10:50:57.774" personId="{AFD396CA-51B7-4DE5-9249-7D8DEEBE206D}" id="{35595991-951E-4070-8CE7-F167FDCAFAD6}">
    <xltc:text>Official 2024 equipment rule reference: https://www.dndbeyond.com/sources/dnd/br-2024/equipment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J5" dT="2026-09-02T10:50:57.843" personId="{AFD396CA-51B7-4DE5-9249-7D8DEEBE206D}" id="{3A675A6C-76A6-4A16-80C5-0009196F1444}">
    <xltc:text>Sheet evidence: Exact ammunition card is linked by the weapon profile; sheet detail and quantity are visible, and the shared ranged-attack executor consumes the bound inventory card.</xltc:text>
  </xltc:threadedComment>
  <xltc:threadedComment ref="K5" dT="2026-09-02T10:50:57.844" personId="{AFD396CA-51B7-4DE5-9249-7D8DEEBE206D}" id="{2B49C5F6-FF68-4988-A820-2A60742889F6}">
    <xltc:text>Combat evidence: Exact ammunition card is linked by the weapon profile; sheet detail and quantity are visible, and the shared ranged-attack executor consumes the bound inventory card.</xltc:text>
  </xltc:threadedComment>
  <xltc:threadedComment ref="L5" dT="2026-09-02T10:50:57.844" personId="{AFD396CA-51B7-4DE5-9249-7D8DEEBE206D}" id="{D2EC98D1-71A4-4B33-931C-F8F2864B3A9C}">
    <xltc:text>Clarity evidence: Exact ammunition card is linked by the weapon profile; sheet detail and quantity are visible, and the shared ranged-attack executor consumes the bound inventory card.</xltc:text>
  </xltc:threadedComment>
  <xltc:threadedComment ref="N5" dT="2026-09-02T10:50:57.844" personId="{AFD396CA-51B7-4DE5-9249-7D8DEEBE206D}" id="{4961FC17-2FA5-4FC1-8B83-7775F553C7EB}">
    <xltc:text>Approved after production browser review plus focused shared-contract tests. The production card is unrestricted (support=NULL) and therefore available in Forge/catalog selection.</xltc:text>
  </xltc:threadedComment>
  <xltc:threadedComment ref="P5" dT="2026-09-02T10:50:57.844" personId="{AFD396CA-51B7-4DE5-9249-7D8DEEBE206D}" id="{BCB172FB-033D-489C-9179-1540D086017D}">
    <xltc:text>Official 2024 equipment rule reference: https://www.dndbeyond.com/sources/dnd/br-2024/equipment</xltc:text>
  </xltc:threadedComment>
  <xltc:threadedComment ref="J6" dT="2026-09-02T10:50:57.844" personId="{AFD396CA-51B7-4DE5-9249-7D8DEEBE206D}" id="{B4A62DA0-AFFC-4C79-9A4C-373AAFCF27A7}">
    <xltc:text>Sheet evidence: Exact ammunition card is linked by the weapon profile; sheet detail and quantity are visible, and the shared ranged-attack executor consumes the bound inventory card.</xltc:text>
  </xltc:threadedComment>
  <xltc:threadedComment ref="K6" dT="2026-09-02T10:50:57.844" personId="{AFD396CA-51B7-4DE5-9249-7D8DEEBE206D}" id="{56611057-AAB8-447C-9A19-57DEFA85AC9A}">
    <xltc:text>Combat evidence: Exact ammunition card is linked by the weapon profile; sheet detail and quantity are visible, and the shared ranged-attack executor consumes the bound inventory card.</xltc:text>
  </xltc:threadedComment>
  <xltc:threadedComment ref="L6" dT="2026-09-02T10:50:57.844" personId="{AFD396CA-51B7-4DE5-9249-7D8DEEBE206D}" id="{4A4F4B65-EB3D-4D61-BD4E-DECB5DFCB25B}">
    <xltc:text>Clarity evidence: Exact ammunition card is linked by the weapon profile; sheet detail and quantity are visible, and the shared ranged-attack executor consumes the bound inventory card.</xltc:text>
  </xltc:threadedComment>
  <xltc:threadedComment ref="N6" dT="2026-09-02T10:50:57.844" personId="{AFD396CA-51B7-4DE5-9249-7D8DEEBE206D}" id="{5AF28EAB-1DB1-4776-92D5-0C04DAD7DE47}">
    <xltc:text>Approved after production browser review plus focused shared-contract tests. The production card is unrestricted (support=NULL) and therefore available in Forge/catalog selection.</xltc:text>
  </xltc:threadedComment>
  <xltc:threadedComment ref="P6" dT="2026-09-02T10:50:57.844" personId="{AFD396CA-51B7-4DE5-9249-7D8DEEBE206D}" id="{03BDB195-A2F4-47F3-87EA-D6404B9CBBA4}">
    <xltc:text>Official 2024 equipment rule reference: https://www.dndbeyond.com/sources/dnd/br-2024/equipment</xltc:text>
  </xltc:threadedComment>
  <xltc:threadedComment ref="J7" dT="2026-09-02T10:50:57.844" personId="{AFD396CA-51B7-4DE5-9249-7D8DEEBE206D}" id="{EBA2289C-9A4B-4BC4-BCD6-C3D13A19F63D}">
    <xltc:text>Sheet evidence: Exact ammunition card is linked by the weapon profile; sheet detail and quantity are visible, and the shared ranged-attack executor consumes the bound inventory card.</xltc:text>
  </xltc:threadedComment>
  <xltc:threadedComment ref="K7" dT="2026-09-02T10:50:57.844" personId="{AFD396CA-51B7-4DE5-9249-7D8DEEBE206D}" id="{FED196B1-D155-444C-8ED6-C37B9F3D4FA7}">
    <xltc:text>Combat evidence: Exact ammunition card is linked by the weapon profile; sheet detail and quantity are visible, and the shared ranged-attack executor consumes the bound inventory card.</xltc:text>
  </xltc:threadedComment>
  <xltc:threadedComment ref="L7" dT="2026-09-02T10:50:57.844" personId="{AFD396CA-51B7-4DE5-9249-7D8DEEBE206D}" id="{1D105B88-F9E7-4D79-A0A8-D0C07DC0B302}">
    <xltc:text>Clarity evidence: Exact ammunition card is linked by the weapon profile; sheet detail and quantity are visible, and the shared ranged-attack executor consumes the bound inventory card.</xltc:text>
  </xltc:threadedComment>
  <xltc:threadedComment ref="N7" dT="2026-09-02T10:50:57.844" personId="{AFD396CA-51B7-4DE5-9249-7D8DEEBE206D}" id="{9D05E9B0-7DFE-44EE-8932-AC57CDB461D9}">
    <xltc:text>Approved after production browser review plus focused shared-contract tests. The production card is unrestricted (support=NULL) and therefore available in Forge/catalog selection.</xltc:text>
  </xltc:threadedComment>
  <xltc:threadedComment ref="P7" dT="2026-09-02T10:50:57.844" personId="{AFD396CA-51B7-4DE5-9249-7D8DEEBE206D}" id="{E4D49E15-AC62-45A8-B110-93B4FEDF5EBF}">
    <xltc:text>Official 2024 equipment rule reference: https://www.dndbeyond.com/sources/dnd/br-2024/equipment</xltc:text>
  </xltc:threadedComment>
  <xltc:threadedComment ref="J8" dT="2026-09-02T10:50:57.844" personId="{AFD396CA-51B7-4DE5-9249-7D8DEEBE206D}" id="{0ADB7274-ED89-44C4-8A1C-39A5C09CB683}">
    <xltc:text>Sheet evidence: Exact ammunition card is linked by the weapon profile; sheet detail and quantity are visible, and the shared ranged-attack executor consumes the bound inventory card.</xltc:text>
  </xltc:threadedComment>
  <xltc:threadedComment ref="K8" dT="2026-09-02T10:50:57.844" personId="{AFD396CA-51B7-4DE5-9249-7D8DEEBE206D}" id="{69BC0BA5-2B14-427A-9199-AE01E17D979F}">
    <xltc:text>Combat evidence: Exact ammunition card is linked by the weapon profile; sheet detail and quantity are visible, and the shared ranged-attack executor consumes the bound inventory card.</xltc:text>
  </xltc:threadedComment>
  <xltc:threadedComment ref="L8" dT="2026-09-02T10:50:57.844" personId="{AFD396CA-51B7-4DE5-9249-7D8DEEBE206D}" id="{7D25C2DC-65EF-4C24-AE0F-A5D19F29C807}">
    <xltc:text>Clarity evidence: Exact ammunition card is linked by the weapon profile; sheet detail and quantity are visible, and the shared ranged-attack executor consumes the bound inventory card.</xltc:text>
  </xltc:threadedComment>
  <xltc:threadedComment ref="N8" dT="2026-09-02T10:50:57.844" personId="{AFD396CA-51B7-4DE5-9249-7D8DEEBE206D}" id="{015ABBB2-56D8-415D-A2E6-2ABD3D2D678A}">
    <xltc:text>Approved after production browser review plus focused shared-contract tests. The production card is unrestricted (support=NULL) and therefore available in Forge/catalog selection.</xltc:text>
  </xltc:threadedComment>
  <xltc:threadedComment ref="P8" dT="2026-09-02T10:50:57.844" personId="{AFD396CA-51B7-4DE5-9249-7D8DEEBE206D}" id="{F88DB3CA-362D-4A72-B8AB-A57BA4BC8F3D}">
    <xltc:text>Official 2024 equipment rule reference: https://www.dndbeyond.com/sources/dnd/br-2024/equipment</xltc:text>
  </xltc:threadedComment>
  <xltc:threadedComment ref="J9" dT="2026-09-02T10:50:57.844" personId="{AFD396CA-51B7-4DE5-9249-7D8DEEBE206D}" id="{1C3FCAD6-BDC6-4F4F-9CD8-ABF252C684E1}">
    <xltc:text>Sheet evidence: Exact ammunition card is linked by the weapon profile; sheet detail and quantity are visible, and the shared ranged-attack executor consumes the bound inventory card.</xltc:text>
  </xltc:threadedComment>
  <xltc:threadedComment ref="K9" dT="2026-09-02T10:50:57.844" personId="{AFD396CA-51B7-4DE5-9249-7D8DEEBE206D}" id="{2D816C99-FF5F-42A4-8AA4-298F1FD45AAF}">
    <xltc:text>Combat evidence: Exact ammunition card is linked by the weapon profile; sheet detail and quantity are visible, and the shared ranged-attack executor consumes the bound inventory card.</xltc:text>
  </xltc:threadedComment>
  <xltc:threadedComment ref="L9" dT="2026-09-02T10:50:57.844" personId="{AFD396CA-51B7-4DE5-9249-7D8DEEBE206D}" id="{BC65EFE5-F8D1-4C2B-88AA-7E95B7DD4F46}">
    <xltc:text>Clarity evidence: Exact ammunition card is linked by the weapon profile; sheet detail and quantity are visible, and the shared ranged-attack executor consumes the bound inventory card.</xltc:text>
  </xltc:threadedComment>
  <xltc:threadedComment ref="N9" dT="2026-09-02T10:50:57.844" personId="{AFD396CA-51B7-4DE5-9249-7D8DEEBE206D}" id="{F7C4EB10-5D08-477B-84B2-FE05EBF8F872}">
    <xltc:text>Approved after production browser review plus focused shared-contract tests. The production card is unrestricted (support=NULL) and therefore available in Forge/catalog selection.</xltc:text>
  </xltc:threadedComment>
  <xltc:threadedComment ref="P9" dT="2026-09-02T10:50:57.844" personId="{AFD396CA-51B7-4DE5-9249-7D8DEEBE206D}" id="{F64BEDEC-9B62-4876-AF85-DB573F159AEE}">
    <xltc:text>Official 2024 equipment rule reference: https://www.dndbeyond.com/sources/dnd/br-2024/equipment</xltc:text>
  </xltc:threadedComment>
  <xltc:threadedComment ref="J10" dT="2026-09-02T10:50:57.844" personId="{AFD396CA-51B7-4DE5-9249-7D8DEEBE206D}" id="{FDD66ECD-584F-425E-9AD3-8ED9C969A690}">
    <xltc:text>Sheet evidence: Browser production pass completed without runtime errors. The result is represented by a visible zone/effect or an immediate journal entry according to the item rule.</xltc:text>
  </xltc:threadedComment>
  <xltc:threadedComment ref="K10" dT="2026-09-02T10:50:57.844" personId="{AFD396CA-51B7-4DE5-9249-7D8DEEBE206D}" id="{636518D2-BFC5-4CF6-88E7-631C8A406BD2}">
    <xltc:text>Combat evidence: Browser production pass completed without runtime errors. The result is represented by a visible zone/effect or an immediate journal entry according to the item rule.</xltc:text>
  </xltc:threadedComment>
  <xltc:threadedComment ref="L10" dT="2026-09-02T10:50:57.844" personId="{AFD396CA-51B7-4DE5-9249-7D8DEEBE206D}" id="{B5C0EBA1-BF23-49FE-8601-EB3E2D3AB442}">
    <xltc:text>Clarity evidence: Browser production pass completed without runtime errors. The result is represented by a visible zone/effect or an immediate journal entry according to the item rule.</xltc:text>
  </xltc:threadedComment>
  <xltc:threadedComment ref="N10" dT="2026-09-02T10:50:57.844" personId="{AFD396CA-51B7-4DE5-9249-7D8DEEBE206D}" id="{FB83D509-9477-4869-9B68-373549B772E0}">
    <xltc:text>Approved after production browser review plus focused shared-contract tests. The production card is unrestricted (support=NULL) and therefore available in Forge/catalog selection.</xltc:text>
  </xltc:threadedComment>
  <xltc:threadedComment ref="P10" dT="2026-09-02T10:50:57.844" personId="{AFD396CA-51B7-4DE5-9249-7D8DEEBE206D}" id="{5DA5362B-E436-464E-9C78-45EEDCDC5360}">
    <xltc:text>Official 2024 equipment rule reference: https://www.dndbeyond.com/sources/dnd/br-2024/equipment</xltc:text>
  </xltc:threadedComment>
  <xltc:threadedComment ref="J11" dT="2026-09-02T10:50:57.844" personId="{AFD396CA-51B7-4DE5-9249-7D8DEEBE206D}" id="{80BF9E5E-A7BD-4211-A22F-EC5ACEE6459D}">
    <xltc:text>Sheet evidence: Browser production pass completed without runtime errors. The result is represented by a visible zone/effect or an immediate journal entry according to the item rule.</xltc:text>
  </xltc:threadedComment>
  <xltc:threadedComment ref="K11" dT="2026-09-02T10:50:57.844" personId="{AFD396CA-51B7-4DE5-9249-7D8DEEBE206D}" id="{156D71C4-67CF-40D8-A55A-16ACDB9E6330}">
    <xltc:text>Combat evidence: Browser production pass completed without runtime errors. The result is represented by a visible zone/effect or an immediate journal entry according to the item rule.</xltc:text>
  </xltc:threadedComment>
  <xltc:threadedComment ref="L11" dT="2026-09-02T10:50:57.844" personId="{AFD396CA-51B7-4DE5-9249-7D8DEEBE206D}" id="{0F59C83E-0243-4BA4-8B44-0EE978B382E8}">
    <xltc:text>Clarity evidence: Browser production pass completed without runtime errors. The result is represented by a visible zone/effect or an immediate journal entry according to the item rule.</xltc:text>
  </xltc:threadedComment>
  <xltc:threadedComment ref="N11" dT="2026-09-02T10:50:57.844" personId="{AFD396CA-51B7-4DE5-9249-7D8DEEBE206D}" id="{77BA6D7D-BB40-42F6-9FB3-2042C67F3A73}">
    <xltc:text>Approved after production browser review plus focused shared-contract tests. The production card is unrestricted (support=NULL) and therefore available in Forge/catalog selection.</xltc:text>
  </xltc:threadedComment>
  <xltc:threadedComment ref="P11" dT="2026-09-02T10:50:57.844" personId="{AFD396CA-51B7-4DE5-9249-7D8DEEBE206D}" id="{9656AF81-E239-4221-B71E-1F6D7419A801}">
    <xltc:text>Official 2024 equipment rule reference: https://www.dndbeyond.com/sources/dnd/br-2024/equipment</xltc:text>
  </xltc:threadedComment>
  <xltc:threadedComment ref="J12" dT="2026-09-02T10:50:57.844" personId="{AFD396CA-51B7-4DE5-9249-7D8DEEBE206D}" id="{D8801A11-7CF2-43DA-BF61-5AAAFD8EDF96}">
    <xltc:text>Sheet evidence: Browser production pass completed without runtime errors. The result is represented by a visible zone/effect or an immediate journal entry according to the item rule.</xltc:text>
  </xltc:threadedComment>
  <xltc:threadedComment ref="K12" dT="2026-09-02T10:50:57.844" personId="{AFD396CA-51B7-4DE5-9249-7D8DEEBE206D}" id="{0FE58E18-40A8-45AA-8B97-DED350C9B8D5}">
    <xltc:text>Combat evidence: Browser production pass completed without runtime errors. The result is represented by a visible zone/effect or an immediate journal entry according to the item rule.</xltc:text>
  </xltc:threadedComment>
  <xltc:threadedComment ref="L12" dT="2026-09-02T10:50:57.844" personId="{AFD396CA-51B7-4DE5-9249-7D8DEEBE206D}" id="{798B3589-9577-4390-A9F2-672B81679E30}">
    <xltc:text>Clarity evidence: Browser production pass completed without runtime errors. The result is represented by a visible zone/effect or an immediate journal entry according to the item rule.</xltc:text>
  </xltc:threadedComment>
  <xltc:threadedComment ref="N12" dT="2026-09-02T10:50:57.845" personId="{AFD396CA-51B7-4DE5-9249-7D8DEEBE206D}" id="{61B86A9E-1416-430E-B3E0-216A081D66B2}">
    <xltc:text>Approved after production browser review plus focused shared-contract tests. The production card is unrestricted (support=NULL) and therefore available in Forge/catalog selection.</xltc:text>
  </xltc:threadedComment>
  <xltc:threadedComment ref="P12" dT="2026-09-02T10:50:57.845" personId="{AFD396CA-51B7-4DE5-9249-7D8DEEBE206D}" id="{96970CAF-457E-4EAE-9112-CE8623AE67A4}">
    <xltc:text>Official 2024 equipment rule reference: https://www.dndbeyond.com/sources/dnd/br-2024/equipment</xltc:text>
  </xltc:threadedComment>
  <xltc:threadedComment ref="J13" dT="2026-09-02T10:50:57.845" personId="{AFD396CA-51B7-4DE5-9249-7D8DEEBE206D}" id="{30579AFA-FD60-45C1-8DF3-CCF0EE18AA6B}">
    <xltc:text>Sheet evidence: Browser production pass completed without runtime errors. The result is represented by a visible zone/effect or an immediate journal entry according to the item rule.</xltc:text>
  </xltc:threadedComment>
  <xltc:threadedComment ref="K13" dT="2026-09-02T10:50:57.845" personId="{AFD396CA-51B7-4DE5-9249-7D8DEEBE206D}" id="{1F2DED96-2CE0-456E-8307-01DA59D3CF6B}">
    <xltc:text>Combat evidence: Browser production pass completed without runtime errors. The result is represented by a visible zone/effect or an immediate journal entry according to the item rule.</xltc:text>
  </xltc:threadedComment>
  <xltc:threadedComment ref="L13" dT="2026-09-02T10:50:57.845" personId="{AFD396CA-51B7-4DE5-9249-7D8DEEBE206D}" id="{6728D402-987B-41FF-AC37-2F59DA403963}">
    <xltc:text>Clarity evidence: Browser production pass completed without runtime errors. The result is represented by a visible zone/effect or an immediate journal entry according to the item rule.</xltc:text>
  </xltc:threadedComment>
  <xltc:threadedComment ref="N13" dT="2026-09-02T10:50:57.845" personId="{AFD396CA-51B7-4DE5-9249-7D8DEEBE206D}" id="{45E4BA13-9201-4D41-9506-0309BFCB6D0D}">
    <xltc:text>Approved after production browser review plus focused shared-contract tests. The production card is unrestricted (support=NULL) and therefore available in Forge/catalog selection.</xltc:text>
  </xltc:threadedComment>
  <xltc:threadedComment ref="P13" dT="2026-09-02T10:50:57.845" personId="{AFD396CA-51B7-4DE5-9249-7D8DEEBE206D}" id="{C36254BC-B2C8-42C3-89B3-43D3DE26B92A}">
    <xltc:text>Official 2024 equipment rule reference: https://www.dndbeyond.com/sources/dnd/br-2024/equipment</xltc:text>
  </xltc:threadedComment>
  <xltc:threadedComment ref="J14" dT="2026-09-02T10:50:57.845" personId="{AFD396CA-51B7-4DE5-9249-7D8DEEBE206D}" id="{AEF745A9-C9B8-42C0-B3A0-709E0C45B74F}">
    <xltc:text>Sheet evidence: Browser production pass completed without runtime errors. The result is represented by a visible zone/effect or an immediate journal entry according to the item rule.</xltc:text>
  </xltc:threadedComment>
  <xltc:threadedComment ref="K14" dT="2026-09-02T10:50:57.845" personId="{AFD396CA-51B7-4DE5-9249-7D8DEEBE206D}" id="{CFCC116E-0069-4B9B-9633-B2218061F80A}">
    <xltc:text>Combat evidence: Browser production pass completed without runtime errors. The result is represented by a visible zone/effect or an immediate journal entry according to the item rule.</xltc:text>
  </xltc:threadedComment>
  <xltc:threadedComment ref="L14" dT="2026-09-02T10:50:57.845" personId="{AFD396CA-51B7-4DE5-9249-7D8DEEBE206D}" id="{C7CB4C0A-BF27-42AF-9D50-AE692905424F}">
    <xltc:text>Clarity evidence: Browser production pass completed without runtime errors. The result is represented by a visible zone/effect or an immediate journal entry according to the item rule.</xltc:text>
  </xltc:threadedComment>
  <xltc:threadedComment ref="N14" dT="2026-09-02T10:50:57.845" personId="{AFD396CA-51B7-4DE5-9249-7D8DEEBE206D}" id="{4D3A0772-68C6-4240-89BA-E61F90284711}">
    <xltc:text>Approved after production browser review plus focused shared-contract tests. The production card is unrestricted (support=NULL) and therefore available in Forge/catalog selection.</xltc:text>
  </xltc:threadedComment>
  <xltc:threadedComment ref="P14" dT="2026-09-02T10:50:57.845" personId="{AFD396CA-51B7-4DE5-9249-7D8DEEBE206D}" id="{E2975DF1-5C6D-426E-AA6A-0817458EFED6}">
    <xltc:text>Official 2024 equipment rule reference: https://www.dndbeyond.com/sources/dnd/br-2024/equipment</xltc:text>
  </xltc:threadedComment>
  <xltc:threadedComment ref="J15" dT="2026-09-02T10:50:57.845" personId="{AFD396CA-51B7-4DE5-9249-7D8DEEBE206D}" id="{50850AD6-A957-42C4-AD0F-378BC9E02537}">
    <xltc:text>Sheet evidence: Browser production pass completed without runtime errors. The result is represented by a visible zone/effect or an immediate journal entry according to the item rule.</xltc:text>
  </xltc:threadedComment>
  <xltc:threadedComment ref="K15" dT="2026-09-02T10:50:57.845" personId="{AFD396CA-51B7-4DE5-9249-7D8DEEBE206D}" id="{A9CE7190-2847-43A5-A621-601715942867}">
    <xltc:text>Combat evidence: Browser production pass completed without runtime errors. The result is represented by a visible zone/effect or an immediate journal entry according to the item rule.</xltc:text>
  </xltc:threadedComment>
  <xltc:threadedComment ref="L15" dT="2026-09-02T10:50:57.845" personId="{AFD396CA-51B7-4DE5-9249-7D8DEEBE206D}" id="{1A3A1697-A799-43E0-833A-5E04F936B6FB}">
    <xltc:text>Clarity evidence: Browser production pass completed without runtime errors. The result is represented by a visible zone/effect or an immediate journal entry according to the item rule.</xltc:text>
  </xltc:threadedComment>
  <xltc:threadedComment ref="N15" dT="2026-09-02T10:50:57.845" personId="{AFD396CA-51B7-4DE5-9249-7D8DEEBE206D}" id="{D2941C1E-1EA9-4F95-A050-FD396BB49436}">
    <xltc:text>Approved after production browser review plus focused shared-contract tests. The production card is unrestricted (support=NULL) and therefore available in Forge/catalog selection.</xltc:text>
  </xltc:threadedComment>
  <xltc:threadedComment ref="P15" dT="2026-09-02T10:50:57.845" personId="{AFD396CA-51B7-4DE5-9249-7D8DEEBE206D}" id="{4A56F09D-1AD9-44BF-B11F-BCADF4EB493F}">
    <xltc:text>Official 2024 equipment rule reference: https://www.dndbeyond.com/sources/dnd/br-2024/equipment</xltc:text>
  </xltc:threadedComment>
  <xltc:threadedComment ref="J16" dT="2026-09-02T10:50:57.845" personId="{AFD396CA-51B7-4DE5-9249-7D8DEEBE206D}" id="{BD3F05D4-52C7-4E14-A8D7-CEB0C87E5B92}">
    <xltc:text>Sheet evidence: Browser production pass completed without runtime errors. The result is represented by a visible zone/effect or an immediate journal entry according to the item rule.</xltc:text>
  </xltc:threadedComment>
  <xltc:threadedComment ref="K16" dT="2026-09-02T10:50:57.845" personId="{AFD396CA-51B7-4DE5-9249-7D8DEEBE206D}" id="{88DD4D14-F6A9-438E-889A-3E3F9D4D4FC5}">
    <xltc:text>Combat evidence: Browser production pass completed without runtime errors. The result is represented by a visible zone/effect or an immediate journal entry according to the item rule.</xltc:text>
  </xltc:threadedComment>
  <xltc:threadedComment ref="L16" dT="2026-09-02T10:50:57.845" personId="{AFD396CA-51B7-4DE5-9249-7D8DEEBE206D}" id="{26D1CD86-1A36-4124-9251-19DB77EEB8C3}">
    <xltc:text>Clarity evidence: Browser production pass completed without runtime errors. The result is represented by a visible zone/effect or an immediate journal entry according to the item rule.</xltc:text>
  </xltc:threadedComment>
  <xltc:threadedComment ref="N16" dT="2026-09-02T10:50:57.845" personId="{AFD396CA-51B7-4DE5-9249-7D8DEEBE206D}" id="{A09DCD16-45DD-4CAB-A61A-4F2252B5084E}">
    <xltc:text>Approved after production browser review plus focused shared-contract tests. The production card is unrestricted (support=NULL) and therefore available in Forge/catalog selection.</xltc:text>
  </xltc:threadedComment>
  <xltc:threadedComment ref="P16" dT="2026-09-02T10:50:57.845" personId="{AFD396CA-51B7-4DE5-9249-7D8DEEBE206D}" id="{47A5BFE4-7D11-4460-A045-3C6A8BAAE4E8}">
    <xltc:text>Official 2024 equipment rule reference: https://www.dndbeyond.com/sources/dnd/br-2024/equipment</xltc:text>
  </xltc:threadedComment>
  <xltc:threadedComment ref="J17" dT="2026-09-02T10:50:57.845" personId="{AFD396CA-51B7-4DE5-9249-7D8DEEBE206D}" id="{D7CCCD1E-9B39-42D6-AABB-2BDC48E0F25C}">
    <xltc:text>Sheet evidence: Browser production pass completed without runtime errors. The result is represented by a visible zone/effect or an immediate journal entry according to the item rule.</xltc:text>
  </xltc:threadedComment>
  <xltc:threadedComment ref="K17" dT="2026-09-02T10:50:57.845" personId="{AFD396CA-51B7-4DE5-9249-7D8DEEBE206D}" id="{337D2004-2AB6-43DB-9DDA-6AA593120C50}">
    <xltc:text>Combat evidence: Browser production pass completed without runtime errors. The result is represented by a visible zone/effect or an immediate journal entry according to the item rule.</xltc:text>
  </xltc:threadedComment>
  <xltc:threadedComment ref="L17" dT="2026-09-02T10:50:57.845" personId="{AFD396CA-51B7-4DE5-9249-7D8DEEBE206D}" id="{C111C67F-FBF4-41B3-AD1B-B0C0D792B048}">
    <xltc:text>Clarity evidence: Browser production pass completed without runtime errors. The result is represented by a visible zone/effect or an immediate journal entry according to the item rule.</xltc:text>
  </xltc:threadedComment>
  <xltc:threadedComment ref="N17" dT="2026-09-02T10:50:57.845" personId="{AFD396CA-51B7-4DE5-9249-7D8DEEBE206D}" id="{C0D66A91-5C20-4F87-9EB0-647C2A838816}">
    <xltc:text>Approved after production browser review plus focused shared-contract tests. The production card is unrestricted (support=NULL) and therefore available in Forge/catalog selection.</xltc:text>
  </xltc:threadedComment>
  <xltc:threadedComment ref="P17" dT="2026-09-02T10:50:57.845" personId="{AFD396CA-51B7-4DE5-9249-7D8DEEBE206D}" id="{E1B27EEE-867E-404B-A5F4-30122A975026}">
    <xltc:text>Official 2024 equipment rule reference: https://www.dndbeyond.com/sources/dnd/br-2024/equipment</xltc:text>
  </xltc:threadedComment>
  <xltc:threadedComment ref="J18" dT="2026-09-02T10:50:57.845" personId="{AFD396CA-51B7-4DE5-9249-7D8DEEBE206D}" id="{68F81082-466F-4E04-8BC0-6D57A0A30AD5}">
    <xltc:text>Sheet evidence: Browser: target rolled Dexterity 2+2=4 and failed; target sheet visibly shows Опутанный with source Сеть.</xltc:text>
  </xltc:threadedComment>
  <xltc:threadedComment ref="K18" dT="2026-09-02T10:50:57.845" personId="{AFD396CA-51B7-4DE5-9249-7D8DEEBE206D}" id="{61B06870-E129-4E8B-8D17-F7AC4B55C662}">
    <xltc:text>Combat evidence: Browser: target rolled Dexterity 2+2=4 and failed; target sheet visibly shows Опутанный with source Сеть.</xltc:text>
  </xltc:threadedComment>
  <xltc:threadedComment ref="L18" dT="2026-09-02T10:50:57.845" personId="{AFD396CA-51B7-4DE5-9249-7D8DEEBE206D}" id="{6A8124F6-ECAA-4054-BEAA-552A3AAED0F3}">
    <xltc:text>Clarity evidence: Browser: target rolled Dexterity 2+2=4 and failed; target sheet visibly shows Опутанный with source Сеть.</xltc:text>
  </xltc:threadedComment>
  <xltc:threadedComment ref="N18" dT="2026-09-02T10:50:57.845" personId="{AFD396CA-51B7-4DE5-9249-7D8DEEBE206D}" id="{804006EA-36BA-433A-B06C-E6AE96B6C267}">
    <xltc:text>Approved after production browser review plus focused shared-contract tests. The production card is unrestricted (support=NULL) and therefore available in Forge/catalog selection.</xltc:text>
  </xltc:threadedComment>
  <xltc:threadedComment ref="P18" dT="2026-09-02T10:50:57.846" personId="{AFD396CA-51B7-4DE5-9249-7D8DEEBE206D}" id="{F7C6349B-DDB9-41D1-B192-090899908146}">
    <xltc:text>Official 2024 equipment rule reference: https://www.dndbeyond.com/sources/dnd/br-2024/equipment</xltc:text>
  </xltc:threadedComment>
  <xltc:threadedComment ref="J19" dT="2026-09-02T10:50:57.846" personId="{AFD396CA-51B7-4DE5-9249-7D8DEEBE206D}" id="{DD6E9127-F35E-49A9-862F-8696412CA278}">
    <xltc:text>Sheet evidence: Browser production pass completed without runtime errors. The result is represented by a visible zone/effect or an immediate journal entry according to the item rule.</xltc:text>
  </xltc:threadedComment>
  <xltc:threadedComment ref="K19" dT="2026-09-02T10:50:57.846" personId="{AFD396CA-51B7-4DE5-9249-7D8DEEBE206D}" id="{2DC08D68-BDE0-4D5D-A2BB-3D290C00B07E}">
    <xltc:text>Combat evidence: Browser production pass completed without runtime errors. The result is represented by a visible zone/effect or an immediate journal entry according to the item rule.</xltc:text>
  </xltc:threadedComment>
  <xltc:threadedComment ref="L19" dT="2026-09-02T10:50:57.846" personId="{AFD396CA-51B7-4DE5-9249-7D8DEEBE206D}" id="{0F3C48F6-0616-49EF-B6C4-07B0AEE3C9ED}">
    <xltc:text>Clarity evidence: Browser production pass completed without runtime errors. The result is represented by a visible zone/effect or an immediate journal entry according to the item rule.</xltc:text>
  </xltc:threadedComment>
  <xltc:threadedComment ref="N19" dT="2026-09-02T10:50:57.846" personId="{AFD396CA-51B7-4DE5-9249-7D8DEEBE206D}" id="{0648470E-4F14-404B-BAA0-3C186FC5FCCC}">
    <xltc:text>Approved after production browser review plus focused shared-contract tests. The production card is unrestricted (support=NULL) and therefore available in Forge/catalog selection.</xltc:text>
  </xltc:threadedComment>
  <xltc:threadedComment ref="P19" dT="2026-09-02T10:50:57.846" personId="{AFD396CA-51B7-4DE5-9249-7D8DEEBE206D}" id="{839BF231-89B5-45DF-8CEF-3AAA7D421C49}">
    <xltc:text>Official 2024 equipment rule reference: https://www.dndbeyond.com/sources/dnd/br-2024/equipment</xltc:text>
  </xltc:threadedComment>
  <xltc:threadedComment ref="J20" dT="2026-09-02T10:50:57.846" personId="{AFD396CA-51B7-4DE5-9249-7D8DEEBE206D}" id="{461C2582-3ED8-4C88-84BF-B59AAE48988F}">
    <xltc:text>Sheet evidence: Browser production pass completed without runtime errors. The result is represented by a visible zone/effect or an immediate journal entry according to the item rule.</xltc:text>
  </xltc:threadedComment>
  <xltc:threadedComment ref="K20" dT="2026-09-02T10:50:57.846" personId="{AFD396CA-51B7-4DE5-9249-7D8DEEBE206D}" id="{9C73B5AF-14F5-4DA5-8667-9F8A55304923}">
    <xltc:text>Combat evidence: Browser production pass completed without runtime errors. The result is represented by a visible zone/effect or an immediate journal entry according to the item rule.</xltc:text>
  </xltc:threadedComment>
  <xltc:threadedComment ref="L20" dT="2026-09-02T10:50:57.846" personId="{AFD396CA-51B7-4DE5-9249-7D8DEEBE206D}" id="{B3136961-6110-42C6-8334-11E529C6B225}">
    <xltc:text>Clarity evidence: Browser production pass completed without runtime errors. The result is represented by a visible zone/effect or an immediate journal entry according to the item rule.</xltc:text>
  </xltc:threadedComment>
  <xltc:threadedComment ref="N20" dT="2026-09-02T10:50:57.846" personId="{AFD396CA-51B7-4DE5-9249-7D8DEEBE206D}" id="{35B568AC-3CB1-40D1-BF73-3AAA69262B82}">
    <xltc:text>Approved after production browser review plus focused shared-contract tests. The production card is unrestricted (support=NULL) and therefore available in Forge/catalog selection.</xltc:text>
  </xltc:threadedComment>
  <xltc:threadedComment ref="P20" dT="2026-09-02T10:50:57.846" personId="{AFD396CA-51B7-4DE5-9249-7D8DEEBE206D}" id="{FD24DB2F-1ACE-41F7-81D2-D4FAAA3D8C01}">
    <xltc:text>Official 2024 equipment rule reference: https://www.dndbeyond.com/sources/dnd/br-2024/equipment</xltc:text>
  </xltc:threadedComment>
  <xltc:threadedComment ref="J21" dT="2026-09-02T10:50:57.846" personId="{AFD396CA-51B7-4DE5-9249-7D8DEEBE206D}" id="{0E3DE717-1B91-4846-8DD1-BBA9D6F4AB31}">
    <xltc:text>Sheet evidence: Browser production pass completed without runtime errors. The result is represented by a visible zone/effect or an immediate journal entry according to the item rule.</xltc:text>
  </xltc:threadedComment>
  <xltc:threadedComment ref="K21" dT="2026-09-02T10:50:57.846" personId="{AFD396CA-51B7-4DE5-9249-7D8DEEBE206D}" id="{4AB5A238-FF14-4CC2-8783-5E421DB5ECDF}">
    <xltc:text>Combat evidence: Browser production pass completed without runtime errors. The result is represented by a visible zone/effect or an immediate journal entry according to the item rule.</xltc:text>
  </xltc:threadedComment>
  <xltc:threadedComment ref="L21" dT="2026-09-02T10:50:57.846" personId="{AFD396CA-51B7-4DE5-9249-7D8DEEBE206D}" id="{15930D40-B043-4175-A617-D9D234C17AE9}">
    <xltc:text>Clarity evidence: Browser production pass completed without runtime errors. The result is represented by a visible zone/effect or an immediate journal entry according to the item rule.</xltc:text>
  </xltc:threadedComment>
  <xltc:threadedComment ref="N21" dT="2026-09-02T10:50:57.846" personId="{AFD396CA-51B7-4DE5-9249-7D8DEEBE206D}" id="{4CE94981-B0E6-4F6A-8DFF-965690FA8770}">
    <xltc:text>Approved after production browser review plus focused shared-contract tests. The production card is unrestricted (support=NULL) and therefore available in Forge/catalog selection.</xltc:text>
  </xltc:threadedComment>
  <xltc:threadedComment ref="P21" dT="2026-09-02T10:50:57.846" personId="{AFD396CA-51B7-4DE5-9249-7D8DEEBE206D}" id="{3D1DC7CF-5B38-418B-9D82-E14962BAA0E9}">
    <xltc:text>Official 2024 equipment rule reference: https://www.dndbeyond.com/sources/dnd/br-2024/equipment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J5" dT="2026-09-02T10:50:57.955" personId="{AFD396CA-51B7-4DE5-9249-7D8DEEBE206D}" id="{038DB65D-B36E-4D16-9845-C9F124C8D01D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5" dT="2026-09-02T10:50:57.955" personId="{AFD396CA-51B7-4DE5-9249-7D8DEEBE206D}" id="{5469AB42-6B1F-4040-90BC-DB08E5EC7E97}">
    <xltc:text>Combat evidence: Not mechanically relevant in combat for this checklist.</xltc:text>
  </xltc:threadedComment>
  <xltc:threadedComment ref="L5" dT="2026-09-02T10:50:57.955" personId="{AFD396CA-51B7-4DE5-9249-7D8DEEBE206D}" id="{2706EF1E-95B5-42B5-A732-835552FF2447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5" dT="2026-09-02T10:50:57.955" personId="{AFD396CA-51B7-4DE5-9249-7D8DEEBE206D}" id="{DFB5969A-0CBF-41AE-8096-379B63DCB7FA}">
    <xltc:text>Approved after production browser review plus focused shared-contract tests. The production card is unrestricted (support=NULL) and therefore available in Forge/catalog selection.</xltc:text>
  </xltc:threadedComment>
  <xltc:threadedComment ref="P5" dT="2026-09-02T10:50:57.955" personId="{AFD396CA-51B7-4DE5-9249-7D8DEEBE206D}" id="{2FD50A9E-1293-46F0-997D-5DB9C0A62967}">
    <xltc:text>Official 2024 equipment rule reference: https://www.dndbeyond.com/sources/dnd/br-2024/equipment</xltc:text>
  </xltc:threadedComment>
  <xltc:threadedComment ref="J6" dT="2026-09-02T10:50:57.955" personId="{AFD396CA-51B7-4DE5-9249-7D8DEEBE206D}" id="{B0864E8B-C626-42DC-8F7B-119D2FA5BEB1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6" dT="2026-09-02T10:50:57.955" personId="{AFD396CA-51B7-4DE5-9249-7D8DEEBE206D}" id="{E4AA01EC-332E-4199-894A-E408C760C8F5}">
    <xltc:text>Combat evidence: Not mechanically relevant in combat for this checklist.</xltc:text>
  </xltc:threadedComment>
  <xltc:threadedComment ref="L6" dT="2026-09-02T10:50:57.955" personId="{AFD396CA-51B7-4DE5-9249-7D8DEEBE206D}" id="{3AE50D5F-26E9-4FD3-8236-C2B8B0146E4E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6" dT="2026-09-02T10:50:57.955" personId="{AFD396CA-51B7-4DE5-9249-7D8DEEBE206D}" id="{CBF49AE8-0E30-479E-B6D6-EDAA31A85D92}">
    <xltc:text>Approved after production browser review plus focused shared-contract tests. The production card is unrestricted (support=NULL) and therefore available in Forge/catalog selection.</xltc:text>
  </xltc:threadedComment>
  <xltc:threadedComment ref="P6" dT="2026-09-02T10:50:57.955" personId="{AFD396CA-51B7-4DE5-9249-7D8DEEBE206D}" id="{C2EE1DD9-5A54-4D26-BBBE-551011D6C58C}">
    <xltc:text>Official 2024 equipment rule reference: https://www.dndbeyond.com/sources/dnd/br-2024/equipment</xltc:text>
  </xltc:threadedComment>
  <xltc:threadedComment ref="J7" dT="2026-09-02T10:50:57.955" personId="{AFD396CA-51B7-4DE5-9249-7D8DEEBE206D}" id="{9E082387-F081-4CCB-A287-255B8503555D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7" dT="2026-09-02T10:50:57.955" personId="{AFD396CA-51B7-4DE5-9249-7D8DEEBE206D}" id="{EC5EE0B8-6A73-47FC-8A67-78B14CE4829D}">
    <xltc:text>Combat evidence: Not mechanically relevant in combat for this checklist.</xltc:text>
  </xltc:threadedComment>
  <xltc:threadedComment ref="L7" dT="2026-09-02T10:50:57.955" personId="{AFD396CA-51B7-4DE5-9249-7D8DEEBE206D}" id="{410B010C-FAFB-478B-A798-7E34897771A8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7" dT="2026-09-02T10:50:57.955" personId="{AFD396CA-51B7-4DE5-9249-7D8DEEBE206D}" id="{58A62AAF-068C-4E21-B471-1573B2C2C9E2}">
    <xltc:text>Approved after production browser review plus focused shared-contract tests. The production card is unrestricted (support=NULL) and therefore available in Forge/catalog selection.</xltc:text>
  </xltc:threadedComment>
  <xltc:threadedComment ref="P7" dT="2026-09-02T10:50:57.955" personId="{AFD396CA-51B7-4DE5-9249-7D8DEEBE206D}" id="{75030D5F-3696-4D24-BAD5-8769147CCFA7}">
    <xltc:text>Official 2024 equipment rule reference: https://www.dndbeyond.com/sources/dnd/br-2024/equipment</xltc:text>
  </xltc:threadedComment>
  <xltc:threadedComment ref="J8" dT="2026-09-02T10:50:57.955" personId="{AFD396CA-51B7-4DE5-9249-7D8DEEBE206D}" id="{B67C2AC7-8746-4BE3-B27B-9483CC7838C4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8" dT="2026-09-02T10:50:57.955" personId="{AFD396CA-51B7-4DE5-9249-7D8DEEBE206D}" id="{7DED42E6-A8AC-400A-8CE0-CE03BCB2F73B}">
    <xltc:text>Combat evidence: Not mechanically relevant in combat for this checklist.</xltc:text>
  </xltc:threadedComment>
  <xltc:threadedComment ref="L8" dT="2026-09-02T10:50:57.955" personId="{AFD396CA-51B7-4DE5-9249-7D8DEEBE206D}" id="{1391C690-BFC3-4C3B-8A80-E1025545B186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8" dT="2026-09-02T10:50:57.955" personId="{AFD396CA-51B7-4DE5-9249-7D8DEEBE206D}" id="{25C007E0-A24C-49F5-9A87-ED2D08632D8D}">
    <xltc:text>Approved after production browser review plus focused shared-contract tests. The production card is unrestricted (support=NULL) and therefore available in Forge/catalog selection.</xltc:text>
  </xltc:threadedComment>
  <xltc:threadedComment ref="P8" dT="2026-09-02T10:50:57.956" personId="{AFD396CA-51B7-4DE5-9249-7D8DEEBE206D}" id="{68AF31E1-DFFB-439E-9B61-90E32F51F55C}">
    <xltc:text>Official 2024 equipment rule reference: https://www.dndbeyond.com/sources/dnd/br-2024/equipment</xltc:text>
  </xltc:threadedComment>
  <xltc:threadedComment ref="J9" dT="2026-09-02T10:50:57.956" personId="{AFD396CA-51B7-4DE5-9249-7D8DEEBE206D}" id="{9BE3C427-0F80-4802-AF1A-C6200546D0E6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9" dT="2026-09-02T10:50:57.956" personId="{AFD396CA-51B7-4DE5-9249-7D8DEEBE206D}" id="{E489364C-D7E2-4E10-8859-1DAC09A33762}">
    <xltc:text>Combat evidence: Not mechanically relevant in combat for this checklist.</xltc:text>
  </xltc:threadedComment>
  <xltc:threadedComment ref="L9" dT="2026-09-02T10:50:57.956" personId="{AFD396CA-51B7-4DE5-9249-7D8DEEBE206D}" id="{E050CB32-201B-4384-A544-CDDC1CACF670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9" dT="2026-09-02T10:50:57.956" personId="{AFD396CA-51B7-4DE5-9249-7D8DEEBE206D}" id="{2D800265-59EF-4530-9E83-16773535A475}">
    <xltc:text>Approved after production browser review plus focused shared-contract tests. The production card is unrestricted (support=NULL) and therefore available in Forge/catalog selection.</xltc:text>
  </xltc:threadedComment>
  <xltc:threadedComment ref="P9" dT="2026-09-02T10:50:57.956" personId="{AFD396CA-51B7-4DE5-9249-7D8DEEBE206D}" id="{3888573F-AB95-482F-B199-B0DE8B9051AF}">
    <xltc:text>Official 2024 equipment rule reference: https://www.dndbeyond.com/sources/dnd/br-2024/equipment</xltc:text>
  </xltc:threadedComment>
  <xltc:threadedComment ref="J10" dT="2026-09-02T10:50:57.956" personId="{AFD396CA-51B7-4DE5-9249-7D8DEEBE206D}" id="{8A01016E-D5ED-42CE-891D-4ABB9004719D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10" dT="2026-09-02T10:50:57.956" personId="{AFD396CA-51B7-4DE5-9249-7D8DEEBE206D}" id="{F28281A3-7C05-4A24-ADE6-62A3B3ABC2A2}">
    <xltc:text>Combat evidence: Not mechanically relevant in combat for this checklist.</xltc:text>
  </xltc:threadedComment>
  <xltc:threadedComment ref="L10" dT="2026-09-02T10:50:57.956" personId="{AFD396CA-51B7-4DE5-9249-7D8DEEBE206D}" id="{7738AB87-A38C-45C6-95F9-8C2DE54CBBE0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10" dT="2026-09-02T10:50:57.956" personId="{AFD396CA-51B7-4DE5-9249-7D8DEEBE206D}" id="{42C89FE9-BF90-4F58-B338-560B667ABCF6}">
    <xltc:text>Approved after production browser review plus focused shared-contract tests. The production card is unrestricted (support=NULL) and therefore available in Forge/catalog selection.</xltc:text>
  </xltc:threadedComment>
  <xltc:threadedComment ref="P10" dT="2026-09-02T10:50:57.956" personId="{AFD396CA-51B7-4DE5-9249-7D8DEEBE206D}" id="{EB936C33-D316-4FB4-8A43-ADAB0CD9C977}">
    <xltc:text>Official 2024 equipment rule reference: https://www.dndbeyond.com/sources/dnd/br-2024/equipment</xltc:text>
  </xltc:threadedComment>
  <xltc:threadedComment ref="J11" dT="2026-09-02T10:50:57.956" personId="{AFD396CA-51B7-4DE5-9249-7D8DEEBE206D}" id="{F0C18CB1-34C0-455C-92F6-D4ED46EE37D1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11" dT="2026-09-02T10:50:57.956" personId="{AFD396CA-51B7-4DE5-9249-7D8DEEBE206D}" id="{116ADC36-2610-4165-88B3-C0982DEC6691}">
    <xltc:text>Combat evidence: Not mechanically relevant in combat for this checklist.</xltc:text>
  </xltc:threadedComment>
  <xltc:threadedComment ref="L11" dT="2026-09-02T10:50:57.956" personId="{AFD396CA-51B7-4DE5-9249-7D8DEEBE206D}" id="{97C9CC00-1F23-43DD-B681-544ECC225876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11" dT="2026-09-02T10:50:57.956" personId="{AFD396CA-51B7-4DE5-9249-7D8DEEBE206D}" id="{36D45B4C-402C-4EC7-B8D0-CD747DD1C453}">
    <xltc:text>Approved after production browser review plus focused shared-contract tests. The production card is unrestricted (support=NULL) and therefore available in Forge/catalog selection.</xltc:text>
  </xltc:threadedComment>
  <xltc:threadedComment ref="P11" dT="2026-09-02T10:50:57.956" personId="{AFD396CA-51B7-4DE5-9249-7D8DEEBE206D}" id="{C10CB950-4E95-4472-9DA1-E8F58669A48E}">
    <xltc:text>Official 2024 equipment rule reference: https://www.dndbeyond.com/sources/dnd/br-2024/equipment</xltc:text>
  </xltc:threadedComment>
  <xltc:threadedComment ref="J12" dT="2026-09-02T10:50:57.956" personId="{AFD396CA-51B7-4DE5-9249-7D8DEEBE206D}" id="{87C2B4B0-EBAE-4BFD-B57A-0F0896D61F52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12" dT="2026-09-02T10:50:57.956" personId="{AFD396CA-51B7-4DE5-9249-7D8DEEBE206D}" id="{E3FC9FE7-98CA-430D-B943-D941440EA114}">
    <xltc:text>Combat evidence: Not mechanically relevant in combat for this checklist.</xltc:text>
  </xltc:threadedComment>
  <xltc:threadedComment ref="L12" dT="2026-09-02T10:50:57.956" personId="{AFD396CA-51B7-4DE5-9249-7D8DEEBE206D}" id="{E02FDAAF-DF4F-449A-94A3-6B02F86DCDD7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12" dT="2026-09-02T10:50:57.956" personId="{AFD396CA-51B7-4DE5-9249-7D8DEEBE206D}" id="{89F0261C-711F-411A-BBED-265BFD77A41E}">
    <xltc:text>Approved after production browser review plus focused shared-contract tests. The production card is unrestricted (support=NULL) and therefore available in Forge/catalog selection.</xltc:text>
  </xltc:threadedComment>
  <xltc:threadedComment ref="P12" dT="2026-09-02T10:50:57.956" personId="{AFD396CA-51B7-4DE5-9249-7D8DEEBE206D}" id="{27185CE6-FE20-4524-A0C5-ED48E353480A}">
    <xltc:text>Official 2024 equipment rule reference: https://www.dndbeyond.com/sources/dnd/br-2024/equipment</xltc:text>
  </xltc:threadedComment>
  <xltc:threadedComment ref="J13" dT="2026-09-02T10:50:57.956" personId="{AFD396CA-51B7-4DE5-9249-7D8DEEBE206D}" id="{48965AC3-53DD-46AF-B186-6D52BD186AA1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13" dT="2026-09-02T10:50:57.956" personId="{AFD396CA-51B7-4DE5-9249-7D8DEEBE206D}" id="{3086C05E-74BB-456D-BFE9-F45BEFD9EBB3}">
    <xltc:text>Combat evidence: Not mechanically relevant in combat for this checklist.</xltc:text>
  </xltc:threadedComment>
  <xltc:threadedComment ref="L13" dT="2026-09-02T10:50:57.956" personId="{AFD396CA-51B7-4DE5-9249-7D8DEEBE206D}" id="{B1C030B9-A188-4EAD-9C33-3FF8F3AB4517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13" dT="2026-09-02T10:50:57.956" personId="{AFD396CA-51B7-4DE5-9249-7D8DEEBE206D}" id="{9CCCDE84-4160-4034-AA3F-6B335EF1E6B2}">
    <xltc:text>Approved after production browser review plus focused shared-contract tests. The production card is unrestricted (support=NULL) and therefore available in Forge/catalog selection.</xltc:text>
  </xltc:threadedComment>
  <xltc:threadedComment ref="P13" dT="2026-09-02T10:50:57.956" personId="{AFD396CA-51B7-4DE5-9249-7D8DEEBE206D}" id="{32D16ADF-52E2-4C5D-86F9-56CDE9BD6FA8}">
    <xltc:text>Official 2024 equipment rule reference: https://www.dndbeyond.com/sources/dnd/br-2024/equipment</xltc:text>
  </xltc:threadedComment>
  <xltc:threadedComment ref="J14" dT="2026-09-02T10:50:57.956" personId="{AFD396CA-51B7-4DE5-9249-7D8DEEBE206D}" id="{511583F9-7498-4472-9AB1-5100D76E8B56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14" dT="2026-09-02T10:50:57.956" personId="{AFD396CA-51B7-4DE5-9249-7D8DEEBE206D}" id="{3A9076DB-A178-4A3F-86EA-C73C66E52011}">
    <xltc:text>Combat evidence: Not mechanically relevant in combat for this checklist.</xltc:text>
  </xltc:threadedComment>
  <xltc:threadedComment ref="L14" dT="2026-09-02T10:50:57.956" personId="{AFD396CA-51B7-4DE5-9249-7D8DEEBE206D}" id="{1C869595-3EB6-48EE-B0B1-DB6B5BCD7372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14" dT="2026-09-02T10:50:57.956" personId="{AFD396CA-51B7-4DE5-9249-7D8DEEBE206D}" id="{09CFE49E-D692-4F88-ACC1-484F7CA11DE1}">
    <xltc:text>Approved after production browser review plus focused shared-contract tests. The production card is unrestricted (support=NULL) and therefore available in Forge/catalog selection.</xltc:text>
  </xltc:threadedComment>
  <xltc:threadedComment ref="P14" dT="2026-09-02T10:50:57.956" personId="{AFD396CA-51B7-4DE5-9249-7D8DEEBE206D}" id="{9AE44DCC-BA1E-475C-9501-B43AD90F33D6}">
    <xltc:text>Official 2024 equipment rule reference: https://www.dndbeyond.com/sources/dnd/br-2024/equipment</xltc:text>
  </xltc:threadedComment>
  <xltc:threadedComment ref="J15" dT="2026-09-02T10:50:57.956" personId="{AFD396CA-51B7-4DE5-9249-7D8DEEBE206D}" id="{E3BDD267-28DC-406A-A8AF-95467B1E3EE4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15" dT="2026-09-02T10:50:57.956" personId="{AFD396CA-51B7-4DE5-9249-7D8DEEBE206D}" id="{636B2176-DF11-404D-BDAE-BA3C98704325}">
    <xltc:text>Combat evidence: Not mechanically relevant in combat for this checklist.</xltc:text>
  </xltc:threadedComment>
  <xltc:threadedComment ref="L15" dT="2026-09-02T10:50:57.956" personId="{AFD396CA-51B7-4DE5-9249-7D8DEEBE206D}" id="{0E953CDF-FBE4-4F94-BC79-B3F75A87B3E7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15" dT="2026-09-02T10:50:57.956" personId="{AFD396CA-51B7-4DE5-9249-7D8DEEBE206D}" id="{E7F88FA2-E69B-41C2-A5E6-96182BB545ED}">
    <xltc:text>Approved after production browser review plus focused shared-contract tests. The production card is unrestricted (support=NULL) and therefore available in Forge/catalog selection.</xltc:text>
  </xltc:threadedComment>
  <xltc:threadedComment ref="P15" dT="2026-09-02T10:50:57.956" personId="{AFD396CA-51B7-4DE5-9249-7D8DEEBE206D}" id="{169CB5DF-741A-4852-A796-3CA94FA3A10E}">
    <xltc:text>Official 2024 equipment rule reference: https://www.dndbeyond.com/sources/dnd/br-2024/equipment</xltc:text>
  </xltc:threadedComment>
  <xltc:threadedComment ref="J16" dT="2026-09-02T10:50:57.956" personId="{AFD396CA-51B7-4DE5-9249-7D8DEEBE206D}" id="{2514D264-2448-4A20-AB3D-99AF7D4D0E0E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16" dT="2026-09-02T10:50:57.956" personId="{AFD396CA-51B7-4DE5-9249-7D8DEEBE206D}" id="{01F142F5-3000-4A16-AB3C-596AC6F6C79D}">
    <xltc:text>Combat evidence: Not mechanically relevant in combat for this checklist.</xltc:text>
  </xltc:threadedComment>
  <xltc:threadedComment ref="L16" dT="2026-09-02T10:50:57.956" personId="{AFD396CA-51B7-4DE5-9249-7D8DEEBE206D}" id="{1968FFEB-41E2-42FF-A056-BB60631D4BA6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16" dT="2026-09-02T10:50:57.956" personId="{AFD396CA-51B7-4DE5-9249-7D8DEEBE206D}" id="{1319D445-1EB8-4FF9-B581-A88CF6F86CF8}">
    <xltc:text>Approved after production browser review plus focused shared-contract tests. The production card is unrestricted (support=NULL) and therefore available in Forge/catalog selection.</xltc:text>
  </xltc:threadedComment>
  <xltc:threadedComment ref="P16" dT="2026-09-02T10:50:57.956" personId="{AFD396CA-51B7-4DE5-9249-7D8DEEBE206D}" id="{682F0217-C03A-4AC2-9194-57C70EF3D4B9}">
    <xltc:text>Official 2024 equipment rule reference: https://www.dndbeyond.com/sources/dnd/br-2024/equipment</xltc:text>
  </xltc:threadedComment>
  <xltc:threadedComment ref="J17" dT="2026-09-02T10:50:57.956" personId="{AFD396CA-51B7-4DE5-9249-7D8DEEBE206D}" id="{C93B09DD-0771-48AD-8DF2-229BE39CC261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17" dT="2026-09-02T10:50:57.956" personId="{AFD396CA-51B7-4DE5-9249-7D8DEEBE206D}" id="{7CDC45E8-5058-4A39-9ADA-532FBC99DDFA}">
    <xltc:text>Combat evidence: Not mechanically relevant in combat for this checklist.</xltc:text>
  </xltc:threadedComment>
  <xltc:threadedComment ref="L17" dT="2026-09-02T10:50:57.957" personId="{AFD396CA-51B7-4DE5-9249-7D8DEEBE206D}" id="{AFA3A975-153B-46E3-923D-E0614CDA40A5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17" dT="2026-09-02T10:50:57.957" personId="{AFD396CA-51B7-4DE5-9249-7D8DEEBE206D}" id="{19CF9E4F-9D1E-4D98-9A95-AF6B705663C6}">
    <xltc:text>Approved after production browser review plus focused shared-contract tests. The production card is unrestricted (support=NULL) and therefore available in Forge/catalog selection.</xltc:text>
  </xltc:threadedComment>
  <xltc:threadedComment ref="P17" dT="2026-09-02T10:50:57.957" personId="{AFD396CA-51B7-4DE5-9249-7D8DEEBE206D}" id="{F5EF3731-5008-4871-AFDE-BD179FAB4A15}">
    <xltc:text>Official 2024 equipment rule reference: https://www.dndbeyond.com/sources/dnd/br-2024/equipment</xltc:text>
  </xltc:threadedComment>
  <xltc:threadedComment ref="J18" dT="2026-09-02T10:50:57.957" personId="{AFD396CA-51B7-4DE5-9249-7D8DEEBE206D}" id="{83A0518D-0094-465A-BED0-70845D86D95F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18" dT="2026-09-02T10:50:57.957" personId="{AFD396CA-51B7-4DE5-9249-7D8DEEBE206D}" id="{EAC198AC-AFA8-4CB1-873B-BC9FD181A76B}">
    <xltc:text>Combat evidence: Not mechanically relevant in combat for this checklist.</xltc:text>
  </xltc:threadedComment>
  <xltc:threadedComment ref="L18" dT="2026-09-02T10:50:57.957" personId="{AFD396CA-51B7-4DE5-9249-7D8DEEBE206D}" id="{C1AC03AD-799D-4576-98C8-A58ED60F2943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18" dT="2026-09-02T10:50:57.957" personId="{AFD396CA-51B7-4DE5-9249-7D8DEEBE206D}" id="{FE60F743-D47B-4C67-B1EB-7289A58E58A6}">
    <xltc:text>Approved after production browser review plus focused shared-contract tests. The production card is unrestricted (support=NULL) and therefore available in Forge/catalog selection.</xltc:text>
  </xltc:threadedComment>
  <xltc:threadedComment ref="P18" dT="2026-09-02T10:50:57.957" personId="{AFD396CA-51B7-4DE5-9249-7D8DEEBE206D}" id="{B488406C-57F7-47DC-8577-50720B2EB15E}">
    <xltc:text>Official 2024 equipment rule reference: https://www.dndbeyond.com/sources/dnd/br-2024/equipment</xltc:text>
  </xltc:threadedComment>
  <xltc:threadedComment ref="J19" dT="2026-09-02T10:50:57.957" personId="{AFD396CA-51B7-4DE5-9249-7D8DEEBE206D}" id="{C226FEF1-2FDC-4F42-AE63-C35C712F7D72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19" dT="2026-09-02T10:50:57.957" personId="{AFD396CA-51B7-4DE5-9249-7D8DEEBE206D}" id="{D1DB000B-13E8-4B0A-B995-FC1BF98C6BEA}">
    <xltc:text>Combat evidence: Not mechanically relevant in combat for this checklist.</xltc:text>
  </xltc:threadedComment>
  <xltc:threadedComment ref="L19" dT="2026-09-02T10:50:57.957" personId="{AFD396CA-51B7-4DE5-9249-7D8DEEBE206D}" id="{F65E9D92-EBB5-49A7-9EA4-9ADDBE7AB23C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19" dT="2026-09-02T10:50:57.957" personId="{AFD396CA-51B7-4DE5-9249-7D8DEEBE206D}" id="{9629EAB0-ACCE-45AF-BFE1-42A72C9ED701}">
    <xltc:text>Approved after production browser review plus focused shared-contract tests. The production card is unrestricted (support=NULL) and therefore available in Forge/catalog selection.</xltc:text>
  </xltc:threadedComment>
  <xltc:threadedComment ref="P19" dT="2026-09-02T10:50:57.957" personId="{AFD396CA-51B7-4DE5-9249-7D8DEEBE206D}" id="{F0E656ED-86F8-4A46-9043-7757855CF443}">
    <xltc:text>Official 2024 equipment rule reference: https://www.dndbeyond.com/sources/dnd/br-2024/equipment</xltc:text>
  </xltc:threadedComment>
  <xltc:threadedComment ref="J20" dT="2026-09-02T10:50:57.957" personId="{AFD396CA-51B7-4DE5-9249-7D8DEEBE206D}" id="{CD575C20-9418-49EC-9636-D6912A440379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20" dT="2026-09-02T10:50:57.957" personId="{AFD396CA-51B7-4DE5-9249-7D8DEEBE206D}" id="{58290CEB-CAC9-489D-A2A1-5072CDAC4473}">
    <xltc:text>Combat evidence: Not mechanically relevant in combat for this checklist.</xltc:text>
  </xltc:threadedComment>
  <xltc:threadedComment ref="L20" dT="2026-09-02T10:50:57.957" personId="{AFD396CA-51B7-4DE5-9249-7D8DEEBE206D}" id="{8AAC9283-2477-4CCB-83D3-F8FFC5BE185B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20" dT="2026-09-02T10:50:57.957" personId="{AFD396CA-51B7-4DE5-9249-7D8DEEBE206D}" id="{2658484C-EF3E-4696-9AA3-87A6C0024E0E}">
    <xltc:text>Approved after production browser review plus focused shared-contract tests. The production card is unrestricted (support=NULL) and therefore available in Forge/catalog selection.</xltc:text>
  </xltc:threadedComment>
  <xltc:threadedComment ref="P20" dT="2026-09-02T10:50:57.957" personId="{AFD396CA-51B7-4DE5-9249-7D8DEEBE206D}" id="{13F9A431-E8AD-48D1-A08A-128CB780DC23}">
    <xltc:text>Official 2024 equipment rule reference: https://www.dndbeyond.com/sources/dnd/br-2024/equipment</xltc:text>
  </xltc:threadedComment>
  <xltc:threadedComment ref="J21" dT="2026-09-02T10:50:57.957" personId="{AFD396CA-51B7-4DE5-9249-7D8DEEBE206D}" id="{9751C0A4-8DA6-4B61-B258-E10A9E870609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21" dT="2026-09-02T10:50:57.957" personId="{AFD396CA-51B7-4DE5-9249-7D8DEEBE206D}" id="{62596478-1371-4D94-9EAA-3911018D25FB}">
    <xltc:text>Combat evidence: Not mechanically relevant in combat for this checklist.</xltc:text>
  </xltc:threadedComment>
  <xltc:threadedComment ref="L21" dT="2026-09-02T10:50:57.957" personId="{AFD396CA-51B7-4DE5-9249-7D8DEEBE206D}" id="{7D0C11B1-7B5E-4EA4-B4E8-9E0A34A82568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21" dT="2026-09-02T10:50:57.957" personId="{AFD396CA-51B7-4DE5-9249-7D8DEEBE206D}" id="{77393B1F-2F0F-4A57-836A-899A0916B91E}">
    <xltc:text>Approved after production browser review plus focused shared-contract tests. The production card is unrestricted (support=NULL) and therefore available in Forge/catalog selection.</xltc:text>
  </xltc:threadedComment>
  <xltc:threadedComment ref="P21" dT="2026-09-02T10:50:57.957" personId="{AFD396CA-51B7-4DE5-9249-7D8DEEBE206D}" id="{4276B72A-7B91-4D43-9832-4A7C3FDF6FDB}">
    <xltc:text>Official 2024 equipment rule reference: https://www.dndbeyond.com/sources/dnd/br-2024/equipment</xltc:text>
  </xltc:threadedComment>
  <xltc:threadedComment ref="J22" dT="2026-09-02T10:50:57.957" personId="{AFD396CA-51B7-4DE5-9249-7D8DEEBE206D}" id="{7F163B11-2F37-4529-9069-FE57669CBC42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22" dT="2026-09-02T10:50:57.957" personId="{AFD396CA-51B7-4DE5-9249-7D8DEEBE206D}" id="{57FC20F1-38C6-4915-98D6-84F60662623F}">
    <xltc:text>Combat evidence: Not mechanically relevant in combat for this checklist.</xltc:text>
  </xltc:threadedComment>
  <xltc:threadedComment ref="L22" dT="2026-09-02T10:50:57.957" personId="{AFD396CA-51B7-4DE5-9249-7D8DEEBE206D}" id="{CD4AD65E-22B6-4A2E-9DE6-B9905B0A12B6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22" dT="2026-09-02T10:50:57.957" personId="{AFD396CA-51B7-4DE5-9249-7D8DEEBE206D}" id="{F9C66074-B36E-43EE-A8EE-C413DC3045B8}">
    <xltc:text>Approved after production browser review plus focused shared-contract tests. The production card is unrestricted (support=NULL) and therefore available in Forge/catalog selection.</xltc:text>
  </xltc:threadedComment>
  <xltc:threadedComment ref="P22" dT="2026-09-02T10:50:57.957" personId="{AFD396CA-51B7-4DE5-9249-7D8DEEBE206D}" id="{C66396AB-61B2-4C54-AFCA-34726B99C6EA}">
    <xltc:text>Official 2024 equipment rule reference: https://www.dndbeyond.com/sources/dnd/br-2024/equipment</xltc:text>
  </xltc:threadedComment>
  <xltc:threadedComment ref="J23" dT="2026-09-02T10:50:57.957" personId="{AFD396CA-51B7-4DE5-9249-7D8DEEBE206D}" id="{3177956E-A555-4E8F-B65E-46AD5A954853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23" dT="2026-09-02T10:50:57.957" personId="{AFD396CA-51B7-4DE5-9249-7D8DEEBE206D}" id="{ADCEDD58-19A6-4382-A220-D1FC130EE9AF}">
    <xltc:text>Combat evidence: Not mechanically relevant in combat for this checklist.</xltc:text>
  </xltc:threadedComment>
  <xltc:threadedComment ref="L23" dT="2026-09-02T10:50:57.957" personId="{AFD396CA-51B7-4DE5-9249-7D8DEEBE206D}" id="{855EBCF4-797B-482F-A122-DEBDA6BA7C16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23" dT="2026-09-02T10:50:57.957" personId="{AFD396CA-51B7-4DE5-9249-7D8DEEBE206D}" id="{F8B7A4F1-3B45-4CD0-A21B-31D62272DF14}">
    <xltc:text>Approved after production browser review plus focused shared-contract tests. The production card is unrestricted (support=NULL) and therefore available in Forge/catalog selection.</xltc:text>
  </xltc:threadedComment>
  <xltc:threadedComment ref="P23" dT="2026-09-02T10:50:57.957" personId="{AFD396CA-51B7-4DE5-9249-7D8DEEBE206D}" id="{867768EF-53FA-4EBD-A52B-679227623D77}">
    <xltc:text>Official 2024 equipment rule reference: https://www.dndbeyond.com/sources/dnd/br-2024/equipment</xltc:text>
  </xltc:threadedComment>
  <xltc:threadedComment ref="J24" dT="2026-09-02T10:50:57.957" personId="{AFD396CA-51B7-4DE5-9249-7D8DEEBE206D}" id="{EB8F6005-D57A-4BC4-92DB-219652D2EB16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24" dT="2026-09-02T10:50:57.957" personId="{AFD396CA-51B7-4DE5-9249-7D8DEEBE206D}" id="{095A3067-84D4-4F44-BE38-C4EF23B3FBF1}">
    <xltc:text>Combat evidence: Not mechanically relevant in combat for this checklist.</xltc:text>
  </xltc:threadedComment>
  <xltc:threadedComment ref="L24" dT="2026-09-02T10:50:57.957" personId="{AFD396CA-51B7-4DE5-9249-7D8DEEBE206D}" id="{AB57850D-977C-4481-BE7A-894E62673EBC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24" dT="2026-09-02T10:50:57.957" personId="{AFD396CA-51B7-4DE5-9249-7D8DEEBE206D}" id="{385CB907-2916-4732-9DE7-150DCB81DA4B}">
    <xltc:text>Approved after production browser review plus focused shared-contract tests. The production card is unrestricted (support=NULL) and therefore available in Forge/catalog selection.</xltc:text>
  </xltc:threadedComment>
  <xltc:threadedComment ref="P24" dT="2026-09-02T10:50:57.957" personId="{AFD396CA-51B7-4DE5-9249-7D8DEEBE206D}" id="{58B79ADD-8ED7-43A9-886F-CD76E1BF08FE}">
    <xltc:text>Official 2024 equipment rule reference: https://www.dndbeyond.com/sources/dnd/br-2024/equipment</xltc:text>
  </xltc:threadedComment>
  <xltc:threadedComment ref="J25" dT="2026-09-02T10:50:57.957" personId="{AFD396CA-51B7-4DE5-9249-7D8DEEBE206D}" id="{A6BC3DC7-77AA-481B-8261-89E5B4827955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25" dT="2026-09-02T10:50:57.957" personId="{AFD396CA-51B7-4DE5-9249-7D8DEEBE206D}" id="{402ECD39-516B-4100-9B2B-E1A88F1C8BB8}">
    <xltc:text>Combat evidence: Not mechanically relevant in combat for this checklist.</xltc:text>
  </xltc:threadedComment>
  <xltc:threadedComment ref="L25" dT="2026-09-02T10:50:57.957" personId="{AFD396CA-51B7-4DE5-9249-7D8DEEBE206D}" id="{F35FA904-050E-4283-85E9-1C0D2ED00F79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25" dT="2026-09-02T10:50:57.957" personId="{AFD396CA-51B7-4DE5-9249-7D8DEEBE206D}" id="{05495AE7-7D5D-441A-A5C0-C68304D9349D}">
    <xltc:text>Approved after production browser review plus focused shared-contract tests. The production card is unrestricted (support=NULL) and therefore available in Forge/catalog selection.</xltc:text>
  </xltc:threadedComment>
  <xltc:threadedComment ref="P25" dT="2026-09-02T10:50:57.957" personId="{AFD396CA-51B7-4DE5-9249-7D8DEEBE206D}" id="{D7B4838E-70F1-4FAC-8FBC-F72E254B4B57}">
    <xltc:text>Official 2024 equipment rule reference: https://www.dndbeyond.com/sources/dnd/br-2024/equipment</xltc:text>
  </xltc:threadedComment>
  <xltc:threadedComment ref="J26" dT="2026-09-02T10:50:57.957" personId="{AFD396CA-51B7-4DE5-9249-7D8DEEBE206D}" id="{D61FB561-19D2-43BE-902B-20FD8857C504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26" dT="2026-09-02T10:50:57.957" personId="{AFD396CA-51B7-4DE5-9249-7D8DEEBE206D}" id="{CC26C220-6A09-48E9-B9B2-5982FB1E433C}">
    <xltc:text>Combat evidence: Not mechanically relevant in combat for this checklist.</xltc:text>
  </xltc:threadedComment>
  <xltc:threadedComment ref="L26" dT="2026-09-02T10:50:57.957" personId="{AFD396CA-51B7-4DE5-9249-7D8DEEBE206D}" id="{534CAA69-0798-431E-B459-3CCC2ED7D27D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26" dT="2026-09-02T10:50:57.958" personId="{AFD396CA-51B7-4DE5-9249-7D8DEEBE206D}" id="{243CD1C5-F2E3-4176-BA21-12D8ECEDC695}">
    <xltc:text>Approved after production browser review plus focused shared-contract tests. The production card is unrestricted (support=NULL) and therefore available in Forge/catalog selection.</xltc:text>
  </xltc:threadedComment>
  <xltc:threadedComment ref="P26" dT="2026-09-02T10:50:57.958" personId="{AFD396CA-51B7-4DE5-9249-7D8DEEBE206D}" id="{67245DD0-8C96-41C3-8361-C81DE4746ECB}">
    <xltc:text>Official 2024 equipment rule reference: https://www.dndbeyond.com/sources/dnd/br-2024/equipment</xltc:text>
  </xltc:threadedComment>
  <xltc:threadedComment ref="J27" dT="2026-09-02T10:50:57.958" personId="{AFD396CA-51B7-4DE5-9249-7D8DEEBE206D}" id="{FECE0D48-AC0E-4B0B-AEAB-D58CD9AA1FFF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27" dT="2026-09-02T10:50:57.958" personId="{AFD396CA-51B7-4DE5-9249-7D8DEEBE206D}" id="{755620C8-4F33-42F0-81E8-1A99FD247726}">
    <xltc:text>Combat evidence: Not mechanically relevant in combat for this checklist.</xltc:text>
  </xltc:threadedComment>
  <xltc:threadedComment ref="L27" dT="2026-09-02T10:50:57.958" personId="{AFD396CA-51B7-4DE5-9249-7D8DEEBE206D}" id="{203F61C8-05E0-4097-BDE6-D0C9072B1C98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27" dT="2026-09-02T10:50:57.958" personId="{AFD396CA-51B7-4DE5-9249-7D8DEEBE206D}" id="{87BFF286-C0EA-45B7-A0BF-5D905A7981D9}">
    <xltc:text>Approved after production browser review plus focused shared-contract tests. The production card is unrestricted (support=NULL) and therefore available in Forge/catalog selection.</xltc:text>
  </xltc:threadedComment>
  <xltc:threadedComment ref="P27" dT="2026-09-02T10:50:57.958" personId="{AFD396CA-51B7-4DE5-9249-7D8DEEBE206D}" id="{59F7BF60-B148-4CFA-981B-47618627F631}">
    <xltc:text>Official 2024 equipment rule reference: https://www.dndbeyond.com/sources/dnd/br-2024/equipment</xltc:text>
  </xltc:threadedComment>
  <xltc:threadedComment ref="J28" dT="2026-09-02T10:50:57.958" personId="{AFD396CA-51B7-4DE5-9249-7D8DEEBE206D}" id="{79ED541F-EFDE-4958-A323-2C78970ADA4A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28" dT="2026-09-02T10:50:57.958" personId="{AFD396CA-51B7-4DE5-9249-7D8DEEBE206D}" id="{97397492-3024-4032-9510-FE68307AB14A}">
    <xltc:text>Combat evidence: Not mechanically relevant in combat for this checklist.</xltc:text>
  </xltc:threadedComment>
  <xltc:threadedComment ref="L28" dT="2026-09-02T10:50:57.958" personId="{AFD396CA-51B7-4DE5-9249-7D8DEEBE206D}" id="{78574820-6B6B-4E92-8D5B-A15EB7A34589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28" dT="2026-09-02T10:50:57.958" personId="{AFD396CA-51B7-4DE5-9249-7D8DEEBE206D}" id="{84F39949-9DEF-4AC9-B75D-9DF7AA073887}">
    <xltc:text>Approved after production browser review plus focused shared-contract tests. The production card is unrestricted (support=NULL) and therefore available in Forge/catalog selection.</xltc:text>
  </xltc:threadedComment>
  <xltc:threadedComment ref="P28" dT="2026-09-02T10:50:57.958" personId="{AFD396CA-51B7-4DE5-9249-7D8DEEBE206D}" id="{45E2B1C0-ED27-45C2-8647-7235C1EE87E6}">
    <xltc:text>Official 2024 equipment rule reference: https://www.dndbeyond.com/sources/dnd/br-2024/equipment</xltc:text>
  </xltc:threadedComment>
  <xltc:threadedComment ref="J29" dT="2026-09-02T10:50:57.958" personId="{AFD396CA-51B7-4DE5-9249-7D8DEEBE206D}" id="{6E625A66-0DA1-4253-A2C0-66DD8624150A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29" dT="2026-09-02T10:50:57.958" personId="{AFD396CA-51B7-4DE5-9249-7D8DEEBE206D}" id="{7ADD4B82-F263-4F43-B479-9168144C4DCA}">
    <xltc:text>Combat evidence: Not mechanically relevant in combat for this checklist.</xltc:text>
  </xltc:threadedComment>
  <xltc:threadedComment ref="L29" dT="2026-09-02T10:50:57.958" personId="{AFD396CA-51B7-4DE5-9249-7D8DEEBE206D}" id="{FF97B944-7340-4DB1-80CE-80F44AB5C24F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29" dT="2026-09-02T10:50:57.958" personId="{AFD396CA-51B7-4DE5-9249-7D8DEEBE206D}" id="{7E60BCC6-B597-420C-8CF1-60F61243202B}">
    <xltc:text>Approved after production browser review plus focused shared-contract tests. The production card is unrestricted (support=NULL) and therefore available in Forge/catalog selection.</xltc:text>
  </xltc:threadedComment>
  <xltc:threadedComment ref="P29" dT="2026-09-02T10:50:57.958" personId="{AFD396CA-51B7-4DE5-9249-7D8DEEBE206D}" id="{05F6B2D3-AED2-401B-AA88-70331ED5B920}">
    <xltc:text>Official 2024 equipment rule reference: https://www.dndbeyond.com/sources/dnd/br-2024/equipment</xltc:text>
  </xltc:threadedComment>
  <xltc:threadedComment ref="J30" dT="2026-09-02T10:50:57.958" personId="{AFD396CA-51B7-4DE5-9249-7D8DEEBE206D}" id="{7AF7A0F8-B5EF-4CD5-ACE0-25C69C7D2FFD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30" dT="2026-09-02T10:50:57.958" personId="{AFD396CA-51B7-4DE5-9249-7D8DEEBE206D}" id="{7CB844AB-0142-4351-A720-73EFB2311B0D}">
    <xltc:text>Combat evidence: Not mechanically relevant in combat for this checklist.</xltc:text>
  </xltc:threadedComment>
  <xltc:threadedComment ref="L30" dT="2026-09-02T10:50:57.958" personId="{AFD396CA-51B7-4DE5-9249-7D8DEEBE206D}" id="{32AE07EE-5FED-4BB3-B48C-A44C54FAEED2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30" dT="2026-09-02T10:50:57.958" personId="{AFD396CA-51B7-4DE5-9249-7D8DEEBE206D}" id="{5912533C-8A08-43B1-9182-AA1F32604427}">
    <xltc:text>Approved after production browser review plus focused shared-contract tests. The production card is unrestricted (support=NULL) and therefore available in Forge/catalog selection.</xltc:text>
  </xltc:threadedComment>
  <xltc:threadedComment ref="P30" dT="2026-09-02T10:50:57.958" personId="{AFD396CA-51B7-4DE5-9249-7D8DEEBE206D}" id="{EB825FC6-54FD-4E54-AA43-0B3C4E1C5E06}">
    <xltc:text>Official 2024 equipment rule reference: https://www.dndbeyond.com/sources/dnd/br-2024/equipment</xltc:text>
  </xltc:threadedComment>
  <xltc:threadedComment ref="J31" dT="2026-09-02T10:50:57.959" personId="{AFD396CA-51B7-4DE5-9249-7D8DEEBE206D}" id="{A4A4F2FE-6A39-4161-8146-B4E6C9334E39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31" dT="2026-09-02T10:50:57.959" personId="{AFD396CA-51B7-4DE5-9249-7D8DEEBE206D}" id="{8A52A43C-816B-4A0D-8AD0-7020EE9CBC9B}">
    <xltc:text>Combat evidence: Not mechanically relevant in combat for this checklist.</xltc:text>
  </xltc:threadedComment>
  <xltc:threadedComment ref="L31" dT="2026-09-02T10:50:57.959" personId="{AFD396CA-51B7-4DE5-9249-7D8DEEBE206D}" id="{43835360-90CE-4922-BB2E-40CF856BC661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31" dT="2026-09-02T10:50:57.959" personId="{AFD396CA-51B7-4DE5-9249-7D8DEEBE206D}" id="{3CB060B1-FF41-4EDD-B70E-06E199C48E63}">
    <xltc:text>Approved after production browser review plus focused shared-contract tests. The production card is unrestricted (support=NULL) and therefore available in Forge/catalog selection.</xltc:text>
  </xltc:threadedComment>
  <xltc:threadedComment ref="P31" dT="2026-09-02T10:50:57.959" personId="{AFD396CA-51B7-4DE5-9249-7D8DEEBE206D}" id="{E41BE1A3-CDDB-4623-BDF3-8B702F1C5F49}">
    <xltc:text>Official 2024 equipment rule reference: https://www.dndbeyond.com/sources/dnd/br-2024/equipment</xltc:text>
  </xltc:threadedComment>
  <xltc:threadedComment ref="J32" dT="2026-09-02T10:50:57.959" personId="{AFD396CA-51B7-4DE5-9249-7D8DEEBE206D}" id="{D4DD3A2D-801A-4B44-A2DC-480FD8E7FE14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32" dT="2026-09-02T10:50:57.959" personId="{AFD396CA-51B7-4DE5-9249-7D8DEEBE206D}" id="{389CC468-A22E-49C3-948C-1CB3ECA5AACD}">
    <xltc:text>Combat evidence: Not mechanically relevant in combat for this checklist.</xltc:text>
  </xltc:threadedComment>
  <xltc:threadedComment ref="L32" dT="2026-09-02T10:50:57.96" personId="{AFD396CA-51B7-4DE5-9249-7D8DEEBE206D}" id="{1E16B1D7-3BF9-4CF0-BDC9-ED2E2547518A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32" dT="2026-09-02T10:50:57.96" personId="{AFD396CA-51B7-4DE5-9249-7D8DEEBE206D}" id="{85428F0A-0D14-4413-A769-6DFAF53D9820}">
    <xltc:text>Approved after production browser review plus focused shared-contract tests. The production card is unrestricted (support=NULL) and therefore available in Forge/catalog selection.</xltc:text>
  </xltc:threadedComment>
  <xltc:threadedComment ref="P32" dT="2026-09-02T10:50:57.96" personId="{AFD396CA-51B7-4DE5-9249-7D8DEEBE206D}" id="{CD5F0A73-73AF-4730-AAA6-BFD2DCC9B5A3}">
    <xltc:text>Official 2024 equipment rule reference: https://www.dndbeyond.com/sources/dnd/br-2024/equipment</xltc:text>
  </xltc:threadedComment>
  <xltc:threadedComment ref="J33" dT="2026-09-02T10:50:57.96" personId="{AFD396CA-51B7-4DE5-9249-7D8DEEBE206D}" id="{1CEFB36B-21D5-4B6C-9CA6-39BB8EB0CF6C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33" dT="2026-09-02T10:50:57.96" personId="{AFD396CA-51B7-4DE5-9249-7D8DEEBE206D}" id="{174F2573-5769-4B6F-828E-FA68204CACB8}">
    <xltc:text>Combat evidence: Not mechanically relevant in combat for this checklist.</xltc:text>
  </xltc:threadedComment>
  <xltc:threadedComment ref="L33" dT="2026-09-02T10:50:57.96" personId="{AFD396CA-51B7-4DE5-9249-7D8DEEBE206D}" id="{27554ED5-6F72-4BD7-B199-CF5B430CCAC5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33" dT="2026-09-02T10:50:57.96" personId="{AFD396CA-51B7-4DE5-9249-7D8DEEBE206D}" id="{3705710C-990E-4914-9FF4-F3B8B50EF0AD}">
    <xltc:text>Approved after production browser review plus focused shared-contract tests. The production card is unrestricted (support=NULL) and therefore available in Forge/catalog selection.</xltc:text>
  </xltc:threadedComment>
  <xltc:threadedComment ref="P33" dT="2026-09-02T10:50:57.96" personId="{AFD396CA-51B7-4DE5-9249-7D8DEEBE206D}" id="{FB2435DB-68BB-4E4B-9FF2-EF5E27348507}">
    <xltc:text>Official 2024 equipment rule reference: https://www.dndbeyond.com/sources/dnd/br-2024/equipment</xltc:text>
  </xltc:threadedComment>
  <xltc:threadedComment ref="J34" dT="2026-09-02T10:50:57.96" personId="{AFD396CA-51B7-4DE5-9249-7D8DEEBE206D}" id="{70C2AD8E-C9FC-4AB9-BC3C-BFAC8BF89CDF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34" dT="2026-09-02T10:50:57.96" personId="{AFD396CA-51B7-4DE5-9249-7D8DEEBE206D}" id="{1BAC3614-11FF-4708-B911-74F0AED22BD6}">
    <xltc:text>Combat evidence: Not mechanically relevant in combat for this checklist.</xltc:text>
  </xltc:threadedComment>
  <xltc:threadedComment ref="L34" dT="2026-09-02T10:50:57.96" personId="{AFD396CA-51B7-4DE5-9249-7D8DEEBE206D}" id="{8EA73FE1-0B29-430C-BCF0-D26B91E29189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34" dT="2026-09-02T10:50:57.96" personId="{AFD396CA-51B7-4DE5-9249-7D8DEEBE206D}" id="{7FFC8FFE-7EB4-427B-8CDC-FDF24D5B0DA2}">
    <xltc:text>Approved after production browser review plus focused shared-contract tests. The production card is unrestricted (support=NULL) and therefore available in Forge/catalog selection.</xltc:text>
  </xltc:threadedComment>
  <xltc:threadedComment ref="P34" dT="2026-09-02T10:50:57.96" personId="{AFD396CA-51B7-4DE5-9249-7D8DEEBE206D}" id="{8EA297AA-C8AB-48BF-B74B-9DDC817F4B17}">
    <xltc:text>Official 2024 equipment rule reference: https://www.dndbeyond.com/sources/dnd/br-2024/equipment</xltc:text>
  </xltc:threadedComment>
  <xltc:threadedComment ref="J35" dT="2026-09-02T10:50:57.96" personId="{AFD396CA-51B7-4DE5-9249-7D8DEEBE206D}" id="{F2076D47-F836-4FD6-AD06-42647EA36020}">
    <xltc:text>Sheet evidence: Production sheet card manually opened; description, weight/price and data-owned mechanic are visible. Active light/check actions are exposed where applicable; container/pack rules are explicit.</xltc:text>
  </xltc:threadedComment>
  <xltc:threadedComment ref="K35" dT="2026-09-02T10:50:57.96" personId="{AFD396CA-51B7-4DE5-9249-7D8DEEBE206D}" id="{A40311EB-84B7-4EE7-B0E7-EDD863D24713}">
    <xltc:text>Combat evidence: Not mechanically relevant in combat for this checklist.</xltc:text>
  </xltc:threadedComment>
  <xltc:threadedComment ref="L35" dT="2026-09-02T10:50:57.96" personId="{AFD396CA-51B7-4DE5-9249-7D8DEEBE206D}" id="{550BC2AD-4ED3-4417-9DE9-FCFF412B0B40}">
    <xltc:text>Clarity evidence: Production sheet card manually opened; description, weight/price and data-owned mechanic are visible. Active light/check actions are exposed where applicable; container/pack rules are explicit.</xltc:text>
  </xltc:threadedComment>
  <xltc:threadedComment ref="N35" dT="2026-09-02T10:50:57.96" personId="{AFD396CA-51B7-4DE5-9249-7D8DEEBE206D}" id="{0EC26CF8-2F5F-43B6-B40B-27C72B90F7AB}">
    <xltc:text>Approved after production browser review plus focused shared-contract tests. The production card is unrestricted (support=NULL) and therefore available in Forge/catalog selection.</xltc:text>
  </xltc:threadedComment>
  <xltc:threadedComment ref="P35" dT="2026-09-02T10:50:57.96" personId="{AFD396CA-51B7-4DE5-9249-7D8DEEBE206D}" id="{EEB5C087-BBCE-4281-B119-09C836850723}">
    <xltc:text>Official 2024 equipment rule reference: https://www.dndbeyond.com/sources/dnd/br-2024/equipment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fc177b620e5848f4" /><Relationship Type="http://schemas.openxmlformats.org/officeDocument/2006/relationships/vmlDrawing" Target="/xl/drawings/vmldrawing.vml" Id="R102ae6a0475e43de" /><Relationship Type="http://schemas.microsoft.com/office/2017/10/relationships/threadedComment" Target="/xl/threadedcomments/threadedcomment.xml" Id="R18477a8173854e62" /><Relationship Type="http://schemas.openxmlformats.org/officeDocument/2006/relationships/table" Target="/xl/tables/table1.xml" Id="R539ebc0d670540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8d16a5aa2c9b4b46" /><Relationship Type="http://schemas.openxmlformats.org/officeDocument/2006/relationships/vmlDrawing" Target="/xl/drawings/vmldrawing2.vml" Id="R720e9a5c4e984a5a" /><Relationship Type="http://schemas.microsoft.com/office/2017/10/relationships/threadedComment" Target="/xl/threadedcomments/threadedcomment2.xml" Id="R9d259012f93b4a6c" /><Relationship Type="http://schemas.openxmlformats.org/officeDocument/2006/relationships/table" Target="/xl/tables/table2.xml" Id="R9f153cc5f8e145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88b2ac44e262470c" /><Relationship Type="http://schemas.openxmlformats.org/officeDocument/2006/relationships/vmlDrawing" Target="/xl/drawings/vmldrawing3.vml" Id="Rf79d7952dc724b73" /><Relationship Type="http://schemas.microsoft.com/office/2017/10/relationships/threadedComment" Target="/xl/threadedcomments/threadedcomment3.xml" Id="R30db90e79a854585" /><Relationship Type="http://schemas.openxmlformats.org/officeDocument/2006/relationships/table" Target="/xl/tables/table3.xml" Id="R75a9d6dd16e945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2d57639d910f48bd" /><Relationship Type="http://schemas.openxmlformats.org/officeDocument/2006/relationships/vmlDrawing" Target="/xl/drawings/vmldrawing4.vml" Id="R5aedef9797d94d92" /><Relationship Type="http://schemas.microsoft.com/office/2017/10/relationships/threadedComment" Target="/xl/threadedcomments/threadedcomment4.xml" Id="R1ebd11b613ba418e" /><Relationship Type="http://schemas.openxmlformats.org/officeDocument/2006/relationships/table" Target="/xl/tables/table4.xml" Id="Ra714a355ccd34f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5.xml" Id="Rb9dcc2613af64406" /><Relationship Type="http://schemas.openxmlformats.org/officeDocument/2006/relationships/vmlDrawing" Target="/xl/drawings/vmldrawing5.vml" Id="R9e1ace3558844237" /><Relationship Type="http://schemas.microsoft.com/office/2017/10/relationships/threadedComment" Target="/xl/threadedcomments/threadedcomment5.xml" Id="R9a082414f9384a8d" /><Relationship Type="http://schemas.openxmlformats.org/officeDocument/2006/relationships/table" Target="/xl/tables/table5.xml" Id="Re3b9bbef377f48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4" t="str">
        <x:v>D&amp;D 2024 Base Equipment — Manual QA Checklist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/>
    <x:row r="4" ht="24" customHeight="1">
      <x:c r="A4" s="7" t="str">
        <x:v>Scope</x:v>
      </x:c>
      <x:c r="B4" s="10" t="str">
        <x:v>Official 2024 weapons, armor, healing potion, and ordinary gear with a concrete sheet/combat rule. Narrative-only ink, paper, parchment, and similar entries are excluded.</x:v>
      </x:c>
    </x:row>
    <x:row r="5" ht="24" customHeight="1">
      <x:c r="A5" s="7" t="str">
        <x:v>Dimensions</x:v>
      </x:c>
      <x:c r="B5" s="10" t="str">
        <x:v>Character sheet use; combat use; result clarity.</x:v>
      </x:c>
    </x:row>
    <x:row r="6" ht="24" customHeight="1">
      <x:c r="A6" s="7" t="str">
        <x:v>Source</x:v>
      </x:c>
      <x:c r="B6" s="10" t="str">
        <x:v>https://www.dndbeyond.com/sources/dnd/br-2024/equipment</x:v>
      </x:c>
    </x:row>
    <x:row r="7" ht="24" customHeight="1">
      <x:c r="A7" s="7" t="str">
        <x:v>Production measured</x:v>
      </x:c>
      <x:c r="B7" s="10" t="str">
        <x:v>2026-09-02 10:50 UTC</x:v>
      </x:c>
    </x:row>
    <x:row r="8" ht="24" customHeight="1">
      <x:c r="A8" s="7" t="str">
        <x:v>Status values</x:v>
      </x:c>
      <x:c r="B8" s="10" t="str">
        <x:v>Pending / Pass / Fail / Blocked / N/A</x:v>
      </x:c>
    </x:row>
    <x:row r="9" ht="24" customHeight="1">
      <x:c r="A9" s="7" t="str">
        <x:v>Character retention</x:v>
      </x:c>
      <x:c r="B9" s="10" t="str">
        <x:v>QA characters are retained unless explicitly requested otherwise.</x:v>
      </x:c>
    </x:row>
    <x:row r="10" ht="24" customHeight="1">
      <x:c r="A10" s="7" t="str">
        <x:v>Certification</x:v>
      </x:c>
      <x:c r="B10" s="10" t="str">
        <x:v>Only rows that pass every relevant dimension may be certified.</x:v>
      </x:c>
    </x:row>
    <x:row r="11" ht="24" customHeight="1"/>
    <x:row r="12" ht="24" customHeight="1">
      <x:c r="A12" s="13" t="str">
        <x:v>Tab</x:v>
      </x:c>
      <x:c r="B12" s="13" t="str">
        <x:v>Entities</x:v>
      </x:c>
      <x:c r="C12" s="13" t="str">
        <x:v>Catalog matched</x:v>
      </x:c>
      <x:c r="D12" s="13" t="str">
        <x:v>Passed</x:v>
      </x:c>
      <x:c r="E12" s="13" t="str">
        <x:v>Failed</x:v>
      </x:c>
      <x:c r="F12" s="13" t="str">
        <x:v>Remaining</x:v>
      </x:c>
    </x:row>
    <x:row r="13" ht="24" customHeight="1">
      <x:c r="A13" s="14" t="str">
        <x:v>Weapons</x:v>
      </x:c>
      <x:c r="B13" s="14" t="n">
        <x:v>38</x:v>
      </x:c>
      <x:c r="C13" s="14" t="n">
        <x:f>COUNTIF('Weapons'!$H$5:$H$42,"Matched")</x:f>
        <x:v>38</x:v>
      </x:c>
      <x:c r="D13" s="14" t="n">
        <x:f>COUNTIF('Weapons'!$N$5:$N$42,"Pass")</x:f>
        <x:v>38</x:v>
      </x:c>
      <x:c r="E13" s="14" t="n">
        <x:f>COUNTIF('Weapons'!$N$5:$N$42,"Fail")</x:f>
        <x:v>0</x:v>
      </x:c>
      <x:c r="F13" s="14" t="n">
        <x:f>B13-D13</x:f>
        <x:v>0</x:v>
      </x:c>
    </x:row>
    <x:row r="14" ht="24" customHeight="1">
      <x:c r="A14" s="14" t="str">
        <x:v>Armor</x:v>
      </x:c>
      <x:c r="B14" s="14" t="n">
        <x:v>13</x:v>
      </x:c>
      <x:c r="C14" s="14" t="n">
        <x:f>COUNTIF('Armor'!$H$5:$H$17,"Matched")</x:f>
        <x:v>13</x:v>
      </x:c>
      <x:c r="D14" s="14" t="n">
        <x:f>COUNTIF('Armor'!$N$5:$N$17,"Pass")</x:f>
        <x:v>13</x:v>
      </x:c>
      <x:c r="E14" s="14" t="n">
        <x:f>COUNTIF('Armor'!$N$5:$N$17,"Fail")</x:f>
        <x:v>0</x:v>
      </x:c>
      <x:c r="F14" s="14" t="n">
        <x:f>B14-D14</x:f>
        <x:v>0</x:v>
      </x:c>
    </x:row>
    <x:row r="15" ht="24" customHeight="1">
      <x:c r="A15" s="14" t="str">
        <x:v>Consumables</x:v>
      </x:c>
      <x:c r="B15" s="14" t="n">
        <x:v>8</x:v>
      </x:c>
      <x:c r="C15" s="14" t="n">
        <x:f>COUNTIF('Consumables'!$H$5:$H$12,"Matched")</x:f>
        <x:v>8</x:v>
      </x:c>
      <x:c r="D15" s="14" t="n">
        <x:f>COUNTIF('Consumables'!$N$5:$N$12,"Pass")</x:f>
        <x:v>8</x:v>
      </x:c>
      <x:c r="E15" s="14" t="n">
        <x:f>COUNTIF('Consumables'!$N$5:$N$12,"Fail")</x:f>
        <x:v>0</x:v>
      </x:c>
      <x:c r="F15" s="14" t="n">
        <x:f>B15-D15</x:f>
        <x:v>0</x:v>
      </x:c>
    </x:row>
    <x:row r="16" ht="24" customHeight="1">
      <x:c r="A16" s="14" t="str">
        <x:v>Combat Gear</x:v>
      </x:c>
      <x:c r="B16" s="14" t="n">
        <x:v>17</x:v>
      </x:c>
      <x:c r="C16" s="14" t="n">
        <x:f>COUNTIF('Combat Gear'!$H$5:$H$21,"Matched")</x:f>
        <x:v>17</x:v>
      </x:c>
      <x:c r="D16" s="14" t="n">
        <x:f>COUNTIF('Combat Gear'!$N$5:$N$21,"Pass")</x:f>
        <x:v>17</x:v>
      </x:c>
      <x:c r="E16" s="14" t="n">
        <x:f>COUNTIF('Combat Gear'!$N$5:$N$21,"Fail")</x:f>
        <x:v>0</x:v>
      </x:c>
      <x:c r="F16" s="14" t="n">
        <x:f>B16-D16</x:f>
        <x:v>0</x:v>
      </x:c>
    </x:row>
    <x:row r="17" ht="24" customHeight="1">
      <x:c r="A17" s="14" t="str">
        <x:v>Sheet Gear</x:v>
      </x:c>
      <x:c r="B17" s="14" t="n">
        <x:v>31</x:v>
      </x:c>
      <x:c r="C17" s="14" t="n">
        <x:f>COUNTIF('Sheet Gear'!$H$5:$H$35,"Matched")</x:f>
        <x:v>31</x:v>
      </x:c>
      <x:c r="D17" s="14" t="n">
        <x:f>COUNTIF('Sheet Gear'!$N$5:$N$35,"Pass")</x:f>
        <x:v>31</x:v>
      </x:c>
      <x:c r="E17" s="14" t="n">
        <x:f>COUNTIF('Sheet Gear'!$N$5:$N$35,"Fail")</x:f>
        <x:v>0</x:v>
      </x:c>
      <x:c r="F17" s="14" t="n">
        <x:f>B17-D17</x:f>
        <x:v>0</x:v>
      </x:c>
    </x:row>
    <x:row r="18" ht="24" customHeight="1">
      <x:c r="A18" s="15" t="str">
        <x:v>TOTAL</x:v>
      </x:c>
      <x:c r="B18" s="15" t="n">
        <x:f>SUM(B13:B17)</x:f>
        <x:v>107</x:v>
      </x:c>
      <x:c r="C18" s="15" t="n">
        <x:f>SUM(C13:C17)</x:f>
        <x:v>107</x:v>
      </x:c>
      <x:c r="D18" s="15" t="n">
        <x:f>SUM(D13:D17)</x:f>
        <x:v>107</x:v>
      </x:c>
      <x:c r="E18" s="15" t="n">
        <x:f>SUM(E13:E17)</x:f>
        <x:v>0</x:v>
      </x:c>
      <x:c r="F18" s="15" t="n">
        <x:f>SUM(F13:F17)</x:f>
        <x:v>0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8" hidden="0" customWidth="1"/>
    <x:col min="4" max="4" width="24" hidden="0" customWidth="1"/>
    <x:col min="5" max="5" width="46" hidden="0" customWidth="1"/>
    <x:col min="6" max="6" width="48" hidden="0" customWidth="1"/>
    <x:col min="7" max="7" width="18" hidden="0" customWidth="1"/>
    <x:col min="8" max="8" width="12" hidden="0" customWidth="1"/>
    <x:col min="9" max="9" width="11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12" hidden="0" customWidth="1"/>
    <x:col min="15" max="15" width="48" hidden="0" customWidth="1"/>
    <x:col min="16" max="16" width="26" hidden="0" customWidth="1"/>
  </x:cols>
  <x:sheetData>
    <x:row r="1" ht="30" customHeight="1">
      <x:c r="A1" s="18" t="str">
        <x:v>D&amp;D 2024 — Weapons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30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 ht="30" customHeight="1">
      <x:c r="A3" s="20" t="str">
        <x:v>Manual evidence belongs in test/result cells and threaded comments. Do not certify an item with a failed or blocked relevant dimension.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</x:row>
    <x:row r="4" ht="30" customHeight="1">
      <x:c r="A4" s="22" t="str">
        <x:v>#</x:v>
      </x:c>
      <x:c r="B4" s="22" t="str">
        <x:v>Category</x:v>
      </x:c>
      <x:c r="C4" s="22" t="str">
        <x:v>Name (RU)</x:v>
      </x:c>
      <x:c r="D4" s="22" t="str">
        <x:v>Name (EN)</x:v>
      </x:c>
      <x:c r="E4" s="22" t="str">
        <x:v>Official rule</x:v>
      </x:c>
      <x:c r="F4" s="22" t="str">
        <x:v>Expected mechanic</x:v>
      </x:c>
      <x:c r="G4" s="22" t="str">
        <x:v>Card number</x:v>
      </x:c>
      <x:c r="H4" s="22" t="str">
        <x:v>Catalog</x:v>
      </x:c>
      <x:c r="I4" s="22" t="str">
        <x:v>Duplicates</x:v>
      </x:c>
      <x:c r="J4" s="22" t="str">
        <x:v>Sheet test</x:v>
      </x:c>
      <x:c r="K4" s="22" t="str">
        <x:v>Combat test</x:v>
      </x:c>
      <x:c r="L4" s="22" t="str">
        <x:v>Clarity test</x:v>
      </x:c>
      <x:c r="M4" s="22" t="str">
        <x:v>Character ID(s)</x:v>
      </x:c>
      <x:c r="N4" s="22" t="str">
        <x:v>Status</x:v>
      </x:c>
      <x:c r="O4" s="22" t="str">
        <x:v>Findings / bug</x:v>
      </x:c>
      <x:c r="P4" s="22" t="str">
        <x:v>Source</x:v>
      </x:c>
    </x:row>
    <x:row r="5" ht="54" customHeight="1">
      <x:c r="A5" s="28" t="n">
        <x:v>1</x:v>
      </x:c>
      <x:c r="B5" s="26" t="str">
        <x:v>Простое ближнее</x:v>
      </x:c>
      <x:c r="C5" s="26" t="str">
        <x:v>Дубинка</x:v>
      </x:c>
      <x:c r="D5" s="26" t="str">
        <x:v>Club</x:v>
      </x:c>
      <x:c r="E5" s="26" t="str">
        <x:v>1к4 дробящий; лёгкое; мастерство: Замедление</x:v>
      </x:c>
      <x:c r="F5" s="26" t="str">
        <x:v>Атака использует верную кость/тип урона, свойства, дистанцию, боеприпасы и мастерство.</x:v>
      </x:c>
      <x:c r="G5" s="29" t="str">
        <x:v>CARD-0568</x:v>
      </x:c>
      <x:c r="H5" s="29" t="str">
        <x:v>Matched</x:v>
      </x:c>
      <x:c r="I5" s="29" t="n">
        <x:v>1</x:v>
      </x:c>
      <x:c r="J5" s="26" t="str">
        <x:v>Pass</x:v>
      </x:c>
      <x:c r="K5" s="26" t="str">
        <x:v>Pass</x:v>
      </x:c>
      <x:c r="L5" s="26" t="str">
        <x:v>Pass</x:v>
      </x:c>
      <x:c r="M5" s="26" t="str">
        <x:v>7382a1e6-f7a2-45ca-8370-38f119845791</x:v>
      </x:c>
      <x:c r="N5" s="26" t="str">
        <x:v>Pass</x:v>
      </x:c>
      <x:c r="O5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926cd3c9-a003-47c0-a13e-387c717a3b13</x:v>
      </x:c>
      <x:c r="P5" s="26" t="str">
        <x:v>https://www.dndbeyond.com/sources/dnd/br-2024/equipment</x:v>
      </x:c>
    </x:row>
    <x:row r="6" ht="54" customHeight="1">
      <x:c r="A6" s="28" t="n">
        <x:v>2</x:v>
      </x:c>
      <x:c r="B6" s="26" t="str">
        <x:v>Простое ближнее</x:v>
      </x:c>
      <x:c r="C6" s="26" t="str">
        <x:v>Кинжал</x:v>
      </x:c>
      <x:c r="D6" s="26" t="str">
        <x:v>Dagger</x:v>
      </x:c>
      <x:c r="E6" s="26" t="str">
        <x:v>1к4 колющий; фехтовальное, лёгкое, метательное 20/60; мастерство: Порез</x:v>
      </x:c>
      <x:c r="F6" s="26" t="str">
        <x:v>Атака использует верную кость/тип урона, свойства, дистанцию, боеприпасы и мастерство.</x:v>
      </x:c>
      <x:c r="G6" s="29" t="str">
        <x:v>CARD-0297</x:v>
      </x:c>
      <x:c r="H6" s="29" t="str">
        <x:v>Matched</x:v>
      </x:c>
      <x:c r="I6" s="29" t="n">
        <x:v>1</x:v>
      </x:c>
      <x:c r="J6" s="26" t="str">
        <x:v>Pass</x:v>
      </x:c>
      <x:c r="K6" s="26" t="str">
        <x:v>Pass</x:v>
      </x:c>
      <x:c r="L6" s="26" t="str">
        <x:v>Pass</x:v>
      </x:c>
      <x:c r="M6" s="26" t="str">
        <x:v>7382a1e6-f7a2-45ca-8370-38f119845791</x:v>
      </x:c>
      <x:c r="N6" s="26" t="str">
        <x:v>Pass</x:v>
      </x:c>
      <x:c r="O6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7ac95f8a-0b8a-4653-b683-19f09ccfb447</x:v>
      </x:c>
      <x:c r="P6" s="26" t="str">
        <x:v>https://www.dndbeyond.com/sources/dnd/br-2024/equipment</x:v>
      </x:c>
    </x:row>
    <x:row r="7" ht="54" customHeight="1">
      <x:c r="A7" s="28" t="n">
        <x:v>3</x:v>
      </x:c>
      <x:c r="B7" s="26" t="str">
        <x:v>Простое ближнее</x:v>
      </x:c>
      <x:c r="C7" s="26" t="str">
        <x:v>Палица</x:v>
      </x:c>
      <x:c r="D7" s="26" t="str">
        <x:v>Greatclub</x:v>
      </x:c>
      <x:c r="E7" s="26" t="str">
        <x:v>1к8 дробящий; двуручное; мастерство: Толчок</x:v>
      </x:c>
      <x:c r="F7" s="26" t="str">
        <x:v>Атака использует верную кость/тип урона, свойства, дистанцию, боеприпасы и мастерство.</x:v>
      </x:c>
      <x:c r="G7" s="29" t="str">
        <x:v>CARD-0300</x:v>
      </x:c>
      <x:c r="H7" s="29" t="str">
        <x:v>Matched</x:v>
      </x:c>
      <x:c r="I7" s="29" t="n">
        <x:v>1</x:v>
      </x:c>
      <x:c r="J7" s="26" t="str">
        <x:v>Pass</x:v>
      </x:c>
      <x:c r="K7" s="26" t="str">
        <x:v>Pass</x:v>
      </x:c>
      <x:c r="L7" s="26" t="str">
        <x:v>Pass</x:v>
      </x:c>
      <x:c r="M7" s="26" t="str">
        <x:v>7382a1e6-f7a2-45ca-8370-38f119845791</x:v>
      </x:c>
      <x:c r="N7" s="26" t="str">
        <x:v>Pass</x:v>
      </x:c>
      <x:c r="O7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6d9f79a9-8901-42ea-85f7-c44c15264af2</x:v>
      </x:c>
      <x:c r="P7" s="26" t="str">
        <x:v>https://www.dndbeyond.com/sources/dnd/br-2024/equipment</x:v>
      </x:c>
    </x:row>
    <x:row r="8" ht="54" customHeight="1">
      <x:c r="A8" s="28" t="n">
        <x:v>4</x:v>
      </x:c>
      <x:c r="B8" s="26" t="str">
        <x:v>Простое ближнее</x:v>
      </x:c>
      <x:c r="C8" s="26" t="str">
        <x:v>Ручной топор</x:v>
      </x:c>
      <x:c r="D8" s="26" t="str">
        <x:v>Handaxe</x:v>
      </x:c>
      <x:c r="E8" s="26" t="str">
        <x:v>1к6 рубящий; лёгкое, метательное 20/60; мастерство: Отвлечение</x:v>
      </x:c>
      <x:c r="F8" s="26" t="str">
        <x:v>Атака использует верную кость/тип урона, свойства, дистанцию, боеприпасы и мастерство.</x:v>
      </x:c>
      <x:c r="G8" s="29" t="str">
        <x:v>CARD-0295</x:v>
      </x:c>
      <x:c r="H8" s="29" t="str">
        <x:v>Matched</x:v>
      </x:c>
      <x:c r="I8" s="29" t="n">
        <x:v>1</x:v>
      </x:c>
      <x:c r="J8" s="26" t="str">
        <x:v>Pass</x:v>
      </x:c>
      <x:c r="K8" s="26" t="str">
        <x:v>Pass</x:v>
      </x:c>
      <x:c r="L8" s="26" t="str">
        <x:v>Pass</x:v>
      </x:c>
      <x:c r="M8" s="26" t="str">
        <x:v>7382a1e6-f7a2-45ca-8370-38f119845791</x:v>
      </x:c>
      <x:c r="N8" s="26" t="str">
        <x:v>Pass</x:v>
      </x:c>
      <x:c r="O8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012ed1f7-3a48-4772-853d-a69cca6d0060</x:v>
      </x:c>
      <x:c r="P8" s="26" t="str">
        <x:v>https://www.dndbeyond.com/sources/dnd/br-2024/equipment</x:v>
      </x:c>
    </x:row>
    <x:row r="9" ht="54" customHeight="1">
      <x:c r="A9" s="28" t="n">
        <x:v>5</x:v>
      </x:c>
      <x:c r="B9" s="26" t="str">
        <x:v>Простое ближнее</x:v>
      </x:c>
      <x:c r="C9" s="26" t="str">
        <x:v>Метательное копьё</x:v>
      </x:c>
      <x:c r="D9" s="26" t="str">
        <x:v>Javelin</x:v>
      </x:c>
      <x:c r="E9" s="26" t="str">
        <x:v>1к6 колющий; метательное 30/120; мастерство: Замедление</x:v>
      </x:c>
      <x:c r="F9" s="26" t="str">
        <x:v>Атака использует верную кость/тип урона, свойства, дистанцию, боеприпасы и мастерство.</x:v>
      </x:c>
      <x:c r="G9" s="29" t="str">
        <x:v>CARD-0301</x:v>
      </x:c>
      <x:c r="H9" s="29" t="str">
        <x:v>Matched</x:v>
      </x:c>
      <x:c r="I9" s="29" t="n">
        <x:v>1</x:v>
      </x:c>
      <x:c r="J9" s="26" t="str">
        <x:v>Pass</x:v>
      </x:c>
      <x:c r="K9" s="26" t="str">
        <x:v>Pass</x:v>
      </x:c>
      <x:c r="L9" s="26" t="str">
        <x:v>Pass</x:v>
      </x:c>
      <x:c r="M9" s="26" t="str">
        <x:v>7382a1e6-f7a2-45ca-8370-38f119845791</x:v>
      </x:c>
      <x:c r="N9" s="26" t="str">
        <x:v>Pass</x:v>
      </x:c>
      <x:c r="O9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3ea27d6c-5a12-48f2-953a-0b955de6e673</x:v>
      </x:c>
      <x:c r="P9" s="26" t="str">
        <x:v>https://www.dndbeyond.com/sources/dnd/br-2024/equipment</x:v>
      </x:c>
    </x:row>
    <x:row r="10" ht="54" customHeight="1">
      <x:c r="A10" s="28" t="n">
        <x:v>6</x:v>
      </x:c>
      <x:c r="B10" s="26" t="str">
        <x:v>Простое ближнее</x:v>
      </x:c>
      <x:c r="C10" s="26" t="str">
        <x:v>Лёгкий молот</x:v>
      </x:c>
      <x:c r="D10" s="26" t="str">
        <x:v>Light Hammer</x:v>
      </x:c>
      <x:c r="E10" s="26" t="str">
        <x:v>1к4 дробящий; лёгкое, метательное 20/60; мастерство: Порез</x:v>
      </x:c>
      <x:c r="F10" s="26" t="str">
        <x:v>Атака использует верную кость/тип урона, свойства, дистанцию, боеприпасы и мастерство.</x:v>
      </x:c>
      <x:c r="G10" s="29" t="str">
        <x:v>CARD-0296</x:v>
      </x:c>
      <x:c r="H10" s="29" t="str">
        <x:v>Matched</x:v>
      </x:c>
      <x:c r="I10" s="29" t="n">
        <x:v>1</x:v>
      </x:c>
      <x:c r="J10" s="26" t="str">
        <x:v>Pass</x:v>
      </x:c>
      <x:c r="K10" s="26" t="str">
        <x:v>Pass</x:v>
      </x:c>
      <x:c r="L10" s="26" t="str">
        <x:v>Pass</x:v>
      </x:c>
      <x:c r="M10" s="26" t="str">
        <x:v>7382a1e6-f7a2-45ca-8370-38f119845791</x:v>
      </x:c>
      <x:c r="N10" s="26" t="str">
        <x:v>Pass</x:v>
      </x:c>
      <x:c r="O10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b96806fa-ea39-449b-9fec-42245e4b66a3</x:v>
      </x:c>
      <x:c r="P10" s="26" t="str">
        <x:v>https://www.dndbeyond.com/sources/dnd/br-2024/equipment</x:v>
      </x:c>
    </x:row>
    <x:row r="11" ht="54" customHeight="1">
      <x:c r="A11" s="28" t="n">
        <x:v>7</x:v>
      </x:c>
      <x:c r="B11" s="26" t="str">
        <x:v>Простое ближнее</x:v>
      </x:c>
      <x:c r="C11" s="26" t="str">
        <x:v>Булава</x:v>
      </x:c>
      <x:c r="D11" s="26" t="str">
        <x:v>Mace</x:v>
      </x:c>
      <x:c r="E11" s="26" t="str">
        <x:v>1к6 дробящий; —; мастерство: Ослабление</x:v>
      </x:c>
      <x:c r="F11" s="26" t="str">
        <x:v>Атака использует верную кость/тип урона, свойства, дистанцию, боеприпасы и мастерство.</x:v>
      </x:c>
      <x:c r="G11" s="29" t="str">
        <x:v>CARD-0298</x:v>
      </x:c>
      <x:c r="H11" s="29" t="str">
        <x:v>Matched</x:v>
      </x:c>
      <x:c r="I11" s="29" t="n">
        <x:v>1</x:v>
      </x:c>
      <x:c r="J11" s="26" t="str">
        <x:v>Pass</x:v>
      </x:c>
      <x:c r="K11" s="26" t="str">
        <x:v>Pass</x:v>
      </x:c>
      <x:c r="L11" s="26" t="str">
        <x:v>Pass</x:v>
      </x:c>
      <x:c r="M11" s="26" t="str">
        <x:v>7382a1e6-f7a2-45ca-8370-38f119845791</x:v>
      </x:c>
      <x:c r="N11" s="26" t="str">
        <x:v>Pass</x:v>
      </x:c>
      <x:c r="O11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30f86119-0415-47bc-9f5d-7db915ad0ee5</x:v>
      </x:c>
      <x:c r="P11" s="26" t="str">
        <x:v>https://www.dndbeyond.com/sources/dnd/br-2024/equipment</x:v>
      </x:c>
    </x:row>
    <x:row r="12" ht="54" customHeight="1">
      <x:c r="A12" s="28" t="n">
        <x:v>8</x:v>
      </x:c>
      <x:c r="B12" s="26" t="str">
        <x:v>Простое ближнее</x:v>
      </x:c>
      <x:c r="C12" s="26" t="str">
        <x:v>Боевой посох</x:v>
      </x:c>
      <x:c r="D12" s="26" t="str">
        <x:v>Quarterstaff</x:v>
      </x:c>
      <x:c r="E12" s="26" t="str">
        <x:v>1к6 дробящий; универсальное 1к8; мастерство: Опрокидывание</x:v>
      </x:c>
      <x:c r="F12" s="26" t="str">
        <x:v>Атака использует верную кость/тип урона, свойства, дистанцию, боеприпасы и мастерство.</x:v>
      </x:c>
      <x:c r="G12" s="29" t="str">
        <x:v>CARD-0305</x:v>
      </x:c>
      <x:c r="H12" s="29" t="str">
        <x:v>Matched</x:v>
      </x:c>
      <x:c r="I12" s="29" t="n">
        <x:v>1</x:v>
      </x:c>
      <x:c r="J12" s="26" t="str">
        <x:v>Pass</x:v>
      </x:c>
      <x:c r="K12" s="26" t="str">
        <x:v>Pass</x:v>
      </x:c>
      <x:c r="L12" s="26" t="str">
        <x:v>Pass</x:v>
      </x:c>
      <x:c r="M12" s="26" t="str">
        <x:v>7382a1e6-f7a2-45ca-8370-38f119845791</x:v>
      </x:c>
      <x:c r="N12" s="26" t="str">
        <x:v>Pass</x:v>
      </x:c>
      <x:c r="O12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cb25b9ad-efa0-47c2-b25e-82e45f711f2e</x:v>
      </x:c>
      <x:c r="P12" s="26" t="str">
        <x:v>https://www.dndbeyond.com/sources/dnd/br-2024/equipment</x:v>
      </x:c>
    </x:row>
    <x:row r="13" ht="54" customHeight="1">
      <x:c r="A13" s="28" t="n">
        <x:v>9</x:v>
      </x:c>
      <x:c r="B13" s="26" t="str">
        <x:v>Простое ближнее</x:v>
      </x:c>
      <x:c r="C13" s="26" t="str">
        <x:v>Серп</x:v>
      </x:c>
      <x:c r="D13" s="26" t="str">
        <x:v>Sickle</x:v>
      </x:c>
      <x:c r="E13" s="26" t="str">
        <x:v>1к4 рубящий; лёгкое; мастерство: Порез</x:v>
      </x:c>
      <x:c r="F13" s="26" t="str">
        <x:v>Атака использует верную кость/тип урона, свойства, дистанцию, боеприпасы и мастерство.</x:v>
      </x:c>
      <x:c r="G13" s="29" t="str">
        <x:v>CARD-0299</x:v>
      </x:c>
      <x:c r="H13" s="29" t="str">
        <x:v>Matched</x:v>
      </x:c>
      <x:c r="I13" s="29" t="n">
        <x:v>1</x:v>
      </x:c>
      <x:c r="J13" s="26" t="str">
        <x:v>Pass</x:v>
      </x:c>
      <x:c r="K13" s="26" t="str">
        <x:v>Pass</x:v>
      </x:c>
      <x:c r="L13" s="26" t="str">
        <x:v>Pass</x:v>
      </x:c>
      <x:c r="M13" s="26" t="str">
        <x:v>7382a1e6-f7a2-45ca-8370-38f119845791</x:v>
      </x:c>
      <x:c r="N13" s="26" t="str">
        <x:v>Pass</x:v>
      </x:c>
      <x:c r="O13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6b8e312e-30e8-4438-bf1f-20df7b9f9503</x:v>
      </x:c>
      <x:c r="P13" s="26" t="str">
        <x:v>https://www.dndbeyond.com/sources/dnd/br-2024/equipment</x:v>
      </x:c>
    </x:row>
    <x:row r="14" ht="54" customHeight="1">
      <x:c r="A14" s="28" t="n">
        <x:v>10</x:v>
      </x:c>
      <x:c r="B14" s="26" t="str">
        <x:v>Простое ближнее</x:v>
      </x:c>
      <x:c r="C14" s="26" t="str">
        <x:v>Копьё</x:v>
      </x:c>
      <x:c r="D14" s="26" t="str">
        <x:v>Spear</x:v>
      </x:c>
      <x:c r="E14" s="26" t="str">
        <x:v>1к6 колющий; метательное 20/60, универсальное 1к8; мастерство: Ослабление</x:v>
      </x:c>
      <x:c r="F14" s="26" t="str">
        <x:v>Атака использует верную кость/тип урона, свойства, дистанцию, боеприпасы и мастерство.</x:v>
      </x:c>
      <x:c r="G14" s="29" t="str">
        <x:v>CARD-0304</x:v>
      </x:c>
      <x:c r="H14" s="29" t="str">
        <x:v>Matched</x:v>
      </x:c>
      <x:c r="I14" s="29" t="n">
        <x:v>1</x:v>
      </x:c>
      <x:c r="J14" s="26" t="str">
        <x:v>Pass</x:v>
      </x:c>
      <x:c r="K14" s="26" t="str">
        <x:v>Pass</x:v>
      </x:c>
      <x:c r="L14" s="26" t="str">
        <x:v>Pass</x:v>
      </x:c>
      <x:c r="M14" s="26" t="str">
        <x:v>7382a1e6-f7a2-45ca-8370-38f119845791</x:v>
      </x:c>
      <x:c r="N14" s="26" t="str">
        <x:v>Pass</x:v>
      </x:c>
      <x:c r="O14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f0c85460-232f-4b29-a34c-bf5c2331ece4</x:v>
      </x:c>
      <x:c r="P14" s="26" t="str">
        <x:v>https://www.dndbeyond.com/sources/dnd/br-2024/equipment</x:v>
      </x:c>
    </x:row>
    <x:row r="15" ht="54" customHeight="1">
      <x:c r="A15" s="28" t="n">
        <x:v>11</x:v>
      </x:c>
      <x:c r="B15" s="26" t="str">
        <x:v>Простое дальнобойное</x:v>
      </x:c>
      <x:c r="C15" s="26" t="str">
        <x:v>Дротик</x:v>
      </x:c>
      <x:c r="D15" s="26" t="str">
        <x:v>Dart</x:v>
      </x:c>
      <x:c r="E15" s="26" t="str">
        <x:v>1к4 колющий; фехтовальное, метательное 20/60; мастерство: Отвлечение</x:v>
      </x:c>
      <x:c r="F15" s="26" t="str">
        <x:v>Атака использует верную кость/тип урона, свойства, дистанцию, боеприпасы и мастерство.</x:v>
      </x:c>
      <x:c r="G15" s="29" t="str">
        <x:v>CARD-0308</x:v>
      </x:c>
      <x:c r="H15" s="29" t="str">
        <x:v>Matched</x:v>
      </x:c>
      <x:c r="I15" s="29" t="n">
        <x:v>1</x:v>
      </x:c>
      <x:c r="J15" s="26" t="str">
        <x:v>Pass</x:v>
      </x:c>
      <x:c r="K15" s="26" t="str">
        <x:v>Pass</x:v>
      </x:c>
      <x:c r="L15" s="26" t="str">
        <x:v>Pass</x:v>
      </x:c>
      <x:c r="M15" s="26" t="str">
        <x:v>7382a1e6-f7a2-45ca-8370-38f119845791</x:v>
      </x:c>
      <x:c r="N15" s="26" t="str">
        <x:v>Pass</x:v>
      </x:c>
      <x:c r="O15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b5e07932-9f58-4389-99a6-a02c06e79cb3</x:v>
      </x:c>
      <x:c r="P15" s="26" t="str">
        <x:v>https://www.dndbeyond.com/sources/dnd/br-2024/equipment</x:v>
      </x:c>
    </x:row>
    <x:row r="16" ht="54" customHeight="1">
      <x:c r="A16" s="28" t="n">
        <x:v>12</x:v>
      </x:c>
      <x:c r="B16" s="26" t="str">
        <x:v>Простое дальнобойное</x:v>
      </x:c>
      <x:c r="C16" s="26" t="str">
        <x:v>Арбалет, лёгкий</x:v>
      </x:c>
      <x:c r="D16" s="26" t="str">
        <x:v>Light Crossbow</x:v>
      </x:c>
      <x:c r="E16" s="26" t="str">
        <x:v>1к8 колющий; боеприпас 80/320, перезарядка, двуручное; мастерство: Замедление</x:v>
      </x:c>
      <x:c r="F16" s="26" t="str">
        <x:v>Атака использует верную кость/тип урона, свойства, дистанцию, боеприпасы и мастерство.</x:v>
      </x:c>
      <x:c r="G16" s="29" t="str">
        <x:v>CARD-0307</x:v>
      </x:c>
      <x:c r="H16" s="29" t="str">
        <x:v>Matched</x:v>
      </x:c>
      <x:c r="I16" s="29" t="n">
        <x:v>2</x:v>
      </x:c>
      <x:c r="J16" s="26" t="str">
        <x:v>Pass</x:v>
      </x:c>
      <x:c r="K16" s="26" t="str">
        <x:v>Pass</x:v>
      </x:c>
      <x:c r="L16" s="26" t="str">
        <x:v>Pass</x:v>
      </x:c>
      <x:c r="M16" s="26" t="str">
        <x:v>7382a1e6-f7a2-45ca-8370-38f119845791</x:v>
      </x:c>
      <x:c r="N16" s="26" t="str">
        <x:v>Pass</x:v>
      </x:c>
      <x:c r="O16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d38f39dc-6787-45a1-8b07-1ba8f5212daa</x:v>
      </x:c>
      <x:c r="P16" s="26" t="str">
        <x:v>https://www.dndbeyond.com/sources/dnd/br-2024/equipment</x:v>
      </x:c>
    </x:row>
    <x:row r="17" ht="54" customHeight="1">
      <x:c r="A17" s="28" t="n">
        <x:v>13</x:v>
      </x:c>
      <x:c r="B17" s="26" t="str">
        <x:v>Простое дальнобойное</x:v>
      </x:c>
      <x:c r="C17" s="26" t="str">
        <x:v>Короткий лук</x:v>
      </x:c>
      <x:c r="D17" s="26" t="str">
        <x:v>Shortbow</x:v>
      </x:c>
      <x:c r="E17" s="26" t="str">
        <x:v>1к6 колющий; боеприпас 80/320, двуручное; мастерство: Отвлечение</x:v>
      </x:c>
      <x:c r="F17" s="26" t="str">
        <x:v>Атака использует верную кость/тип урона, свойства, дистанцию, боеприпасы и мастерство.</x:v>
      </x:c>
      <x:c r="G17" s="29" t="str">
        <x:v>CARD-0306</x:v>
      </x:c>
      <x:c r="H17" s="29" t="str">
        <x:v>Matched</x:v>
      </x:c>
      <x:c r="I17" s="29" t="n">
        <x:v>1</x:v>
      </x:c>
      <x:c r="J17" s="26" t="str">
        <x:v>Pass</x:v>
      </x:c>
      <x:c r="K17" s="26" t="str">
        <x:v>Pass</x:v>
      </x:c>
      <x:c r="L17" s="26" t="str">
        <x:v>Pass</x:v>
      </x:c>
      <x:c r="M17" s="26" t="str">
        <x:v>7382a1e6-f7a2-45ca-8370-38f119845791</x:v>
      </x:c>
      <x:c r="N17" s="26" t="str">
        <x:v>Pass</x:v>
      </x:c>
      <x:c r="O17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0cb5491e-e6a5-4fc6-9a0c-f80ad8d43ced</x:v>
      </x:c>
      <x:c r="P17" s="26" t="str">
        <x:v>https://www.dndbeyond.com/sources/dnd/br-2024/equipment</x:v>
      </x:c>
    </x:row>
    <x:row r="18" ht="54" customHeight="1">
      <x:c r="A18" s="28" t="n">
        <x:v>14</x:v>
      </x:c>
      <x:c r="B18" s="26" t="str">
        <x:v>Простое дальнобойное</x:v>
      </x:c>
      <x:c r="C18" s="26" t="str">
        <x:v>Праща</x:v>
      </x:c>
      <x:c r="D18" s="26" t="str">
        <x:v>Sling</x:v>
      </x:c>
      <x:c r="E18" s="26" t="str">
        <x:v>1к4 дробящий; боеприпас 30/120; мастерство: Замедление</x:v>
      </x:c>
      <x:c r="F18" s="26" t="str">
        <x:v>Атака использует верную кость/тип урона, свойства, дистанцию, боеприпасы и мастерство.</x:v>
      </x:c>
      <x:c r="G18" s="29" t="str">
        <x:v>CARD-0293</x:v>
      </x:c>
      <x:c r="H18" s="29" t="str">
        <x:v>Matched</x:v>
      </x:c>
      <x:c r="I18" s="29" t="n">
        <x:v>1</x:v>
      </x:c>
      <x:c r="J18" s="26" t="str">
        <x:v>Pass</x:v>
      </x:c>
      <x:c r="K18" s="26" t="str">
        <x:v>Pass</x:v>
      </x:c>
      <x:c r="L18" s="26" t="str">
        <x:v>Pass</x:v>
      </x:c>
      <x:c r="M18" s="26" t="str">
        <x:v>7382a1e6-f7a2-45ca-8370-38f119845791</x:v>
      </x:c>
      <x:c r="N18" s="26" t="str">
        <x:v>Pass</x:v>
      </x:c>
      <x:c r="O18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55d2c33b-a318-4fc7-90e1-8cca3d9e33e7</x:v>
      </x:c>
      <x:c r="P18" s="26" t="str">
        <x:v>https://www.dndbeyond.com/sources/dnd/br-2024/equipment</x:v>
      </x:c>
    </x:row>
    <x:row r="19" ht="54" customHeight="1">
      <x:c r="A19" s="28" t="n">
        <x:v>15</x:v>
      </x:c>
      <x:c r="B19" s="26" t="str">
        <x:v>Воинское ближнее</x:v>
      </x:c>
      <x:c r="C19" s="26" t="str">
        <x:v>Боевой топор</x:v>
      </x:c>
      <x:c r="D19" s="26" t="str">
        <x:v>Battleaxe</x:v>
      </x:c>
      <x:c r="E19" s="26" t="str">
        <x:v>1к8 рубящий; универсальное 1к10; мастерство: Опрокидывание</x:v>
      </x:c>
      <x:c r="F19" s="26" t="str">
        <x:v>Атака использует верную кость/тип урона, свойства, дистанцию, боеприпасы и мастерство.</x:v>
      </x:c>
      <x:c r="G19" s="29" t="str">
        <x:v>CARD-0322</x:v>
      </x:c>
      <x:c r="H19" s="29" t="str">
        <x:v>Matched</x:v>
      </x:c>
      <x:c r="I19" s="29" t="n">
        <x:v>1</x:v>
      </x:c>
      <x:c r="J19" s="26" t="str">
        <x:v>Pass</x:v>
      </x:c>
      <x:c r="K19" s="26" t="str">
        <x:v>Pass</x:v>
      </x:c>
      <x:c r="L19" s="26" t="str">
        <x:v>Pass</x:v>
      </x:c>
      <x:c r="M19" s="26" t="str">
        <x:v>7382a1e6-f7a2-45ca-8370-38f119845791</x:v>
      </x:c>
      <x:c r="N19" s="26" t="str">
        <x:v>Pass</x:v>
      </x:c>
      <x:c r="O19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1ea3e2ea-7d3a-4ce4-ab80-e26cf8c0fdc8</x:v>
      </x:c>
      <x:c r="P19" s="26" t="str">
        <x:v>https://www.dndbeyond.com/sources/dnd/br-2024/equipment</x:v>
      </x:c>
    </x:row>
    <x:row r="20" ht="54" customHeight="1">
      <x:c r="A20" s="28" t="n">
        <x:v>16</x:v>
      </x:c>
      <x:c r="B20" s="26" t="str">
        <x:v>Воинское ближнее</x:v>
      </x:c>
      <x:c r="C20" s="26" t="str">
        <x:v>Цеп</x:v>
      </x:c>
      <x:c r="D20" s="26" t="str">
        <x:v>Flail</x:v>
      </x:c>
      <x:c r="E20" s="26" t="str">
        <x:v>1к8 дробящий; —; мастерство: Ослабление</x:v>
      </x:c>
      <x:c r="F20" s="26" t="str">
        <x:v>Атака использует верную кость/тип урона, свойства, дистанцию, боеприпасы и мастерство.</x:v>
      </x:c>
      <x:c r="G20" s="29" t="str">
        <x:v>CARD-0309</x:v>
      </x:c>
      <x:c r="H20" s="29" t="str">
        <x:v>Matched</x:v>
      </x:c>
      <x:c r="I20" s="29" t="n">
        <x:v>1</x:v>
      </x:c>
      <x:c r="J20" s="26" t="str">
        <x:v>Pass</x:v>
      </x:c>
      <x:c r="K20" s="26" t="str">
        <x:v>Pass</x:v>
      </x:c>
      <x:c r="L20" s="26" t="str">
        <x:v>Pass</x:v>
      </x:c>
      <x:c r="M20" s="26" t="str">
        <x:v>7382a1e6-f7a2-45ca-8370-38f119845791</x:v>
      </x:c>
      <x:c r="N20" s="26" t="str">
        <x:v>Pass</x:v>
      </x:c>
      <x:c r="O20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07cedd56-867c-455e-b639-599ce7f2615e</x:v>
      </x:c>
      <x:c r="P20" s="26" t="str">
        <x:v>https://www.dndbeyond.com/sources/dnd/br-2024/equipment</x:v>
      </x:c>
    </x:row>
    <x:row r="21" ht="54" customHeight="1">
      <x:c r="A21" s="28" t="n">
        <x:v>17</x:v>
      </x:c>
      <x:c r="B21" s="26" t="str">
        <x:v>Воинское ближнее</x:v>
      </x:c>
      <x:c r="C21" s="26" t="str">
        <x:v>Глефа</x:v>
      </x:c>
      <x:c r="D21" s="26" t="str">
        <x:v>Glaive</x:v>
      </x:c>
      <x:c r="E21" s="26" t="str">
        <x:v>1к10 рубящий; тяжёлое, досягаемость, двуручное; мастерство: Скольжение</x:v>
      </x:c>
      <x:c r="F21" s="26" t="str">
        <x:v>Атака использует верную кость/тип урона, свойства, дистанцию, боеприпасы и мастерство.</x:v>
      </x:c>
      <x:c r="G21" s="29" t="str">
        <x:v>CARD-0321</x:v>
      </x:c>
      <x:c r="H21" s="29" t="str">
        <x:v>Matched</x:v>
      </x:c>
      <x:c r="I21" s="29" t="n">
        <x:v>1</x:v>
      </x:c>
      <x:c r="J21" s="26" t="str">
        <x:v>Pass</x:v>
      </x:c>
      <x:c r="K21" s="26" t="str">
        <x:v>Pass</x:v>
      </x:c>
      <x:c r="L21" s="26" t="str">
        <x:v>Pass</x:v>
      </x:c>
      <x:c r="M21" s="26" t="str">
        <x:v>7382a1e6-f7a2-45ca-8370-38f119845791</x:v>
      </x:c>
      <x:c r="N21" s="26" t="str">
        <x:v>Pass</x:v>
      </x:c>
      <x:c r="O21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710153eb-390a-4c7b-a4b7-716dfe81496f</x:v>
      </x:c>
      <x:c r="P21" s="26" t="str">
        <x:v>https://www.dndbeyond.com/sources/dnd/br-2024/equipment</x:v>
      </x:c>
    </x:row>
    <x:row r="22" ht="54" customHeight="1">
      <x:c r="A22" s="28" t="n">
        <x:v>18</x:v>
      </x:c>
      <x:c r="B22" s="26" t="str">
        <x:v>Воинское ближнее</x:v>
      </x:c>
      <x:c r="C22" s="26" t="str">
        <x:v>Секира</x:v>
      </x:c>
      <x:c r="D22" s="26" t="str">
        <x:v>Greataxe</x:v>
      </x:c>
      <x:c r="E22" s="26" t="str">
        <x:v>1к12 рубящий; тяжёлое, двуручное; мастерство: Рассечение</x:v>
      </x:c>
      <x:c r="F22" s="26" t="str">
        <x:v>Атака использует верную кость/тип урона, свойства, дистанцию, боеприпасы и мастерство.</x:v>
      </x:c>
      <x:c r="G22" s="29" t="str">
        <x:v>CARD-0312</x:v>
      </x:c>
      <x:c r="H22" s="29" t="str">
        <x:v>Matched</x:v>
      </x:c>
      <x:c r="I22" s="29" t="n">
        <x:v>1</x:v>
      </x:c>
      <x:c r="J22" s="26" t="str">
        <x:v>Pass</x:v>
      </x:c>
      <x:c r="K22" s="26" t="str">
        <x:v>Pass</x:v>
      </x:c>
      <x:c r="L22" s="26" t="str">
        <x:v>Pass</x:v>
      </x:c>
      <x:c r="M22" s="26" t="str">
        <x:v>7382a1e6-f7a2-45ca-8370-38f119845791</x:v>
      </x:c>
      <x:c r="N22" s="26" t="str">
        <x:v>Pass</x:v>
      </x:c>
      <x:c r="O22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9515fd6f-7478-4363-affa-14bc0e3a4e36</x:v>
      </x:c>
      <x:c r="P22" s="26" t="str">
        <x:v>https://www.dndbeyond.com/sources/dnd/br-2024/equipment</x:v>
      </x:c>
    </x:row>
    <x:row r="23" ht="54" customHeight="1">
      <x:c r="A23" s="28" t="n">
        <x:v>19</x:v>
      </x:c>
      <x:c r="B23" s="26" t="str">
        <x:v>Воинское ближнее</x:v>
      </x:c>
      <x:c r="C23" s="26" t="str">
        <x:v>Двуручный меч</x:v>
      </x:c>
      <x:c r="D23" s="26" t="str">
        <x:v>Greatsword</x:v>
      </x:c>
      <x:c r="E23" s="26" t="str">
        <x:v>2к6 рубящий; тяжёлое, двуручное; мастерство: Скольжение</x:v>
      </x:c>
      <x:c r="F23" s="26" t="str">
        <x:v>Атака использует верную кость/тип урона, свойства, дистанцию, боеприпасы и мастерство.</x:v>
      </x:c>
      <x:c r="G23" s="29" t="str">
        <x:v>CARD-0317</x:v>
      </x:c>
      <x:c r="H23" s="29" t="str">
        <x:v>Matched</x:v>
      </x:c>
      <x:c r="I23" s="29" t="n">
        <x:v>1</x:v>
      </x:c>
      <x:c r="J23" s="26" t="str">
        <x:v>Pass</x:v>
      </x:c>
      <x:c r="K23" s="26" t="str">
        <x:v>Pass</x:v>
      </x:c>
      <x:c r="L23" s="26" t="str">
        <x:v>Pass</x:v>
      </x:c>
      <x:c r="M23" s="26" t="str">
        <x:v>7382a1e6-f7a2-45ca-8370-38f119845791</x:v>
      </x:c>
      <x:c r="N23" s="26" t="str">
        <x:v>Pass</x:v>
      </x:c>
      <x:c r="O23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6eb3b226-55a6-4c6d-9dde-32e78e014eac</x:v>
      </x:c>
      <x:c r="P23" s="26" t="str">
        <x:v>https://www.dndbeyond.com/sources/dnd/br-2024/equipment</x:v>
      </x:c>
    </x:row>
    <x:row r="24" ht="54" customHeight="1">
      <x:c r="A24" s="28" t="n">
        <x:v>20</x:v>
      </x:c>
      <x:c r="B24" s="26" t="str">
        <x:v>Воинское ближнее</x:v>
      </x:c>
      <x:c r="C24" s="26" t="str">
        <x:v>Алебарда</x:v>
      </x:c>
      <x:c r="D24" s="26" t="str">
        <x:v>Halberd</x:v>
      </x:c>
      <x:c r="E24" s="26" t="str">
        <x:v>1к10 рубящий; тяжёлое, досягаемость, двуручное; мастерство: Рассечение</x:v>
      </x:c>
      <x:c r="F24" s="26" t="str">
        <x:v>Атака использует верную кость/тип урона, свойства, дистанцию, боеприпасы и мастерство.</x:v>
      </x:c>
      <x:c r="G24" s="29" t="str">
        <x:v>CARD-0325</x:v>
      </x:c>
      <x:c r="H24" s="29" t="str">
        <x:v>Matched</x:v>
      </x:c>
      <x:c r="I24" s="29" t="n">
        <x:v>1</x:v>
      </x:c>
      <x:c r="J24" s="26" t="str">
        <x:v>Pass</x:v>
      </x:c>
      <x:c r="K24" s="26" t="str">
        <x:v>Pass</x:v>
      </x:c>
      <x:c r="L24" s="26" t="str">
        <x:v>Pass</x:v>
      </x:c>
      <x:c r="M24" s="26" t="str">
        <x:v>7382a1e6-f7a2-45ca-8370-38f119845791</x:v>
      </x:c>
      <x:c r="N24" s="26" t="str">
        <x:v>Pass</x:v>
      </x:c>
      <x:c r="O24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492d6238-445e-487c-bd07-609cf71a2863</x:v>
      </x:c>
      <x:c r="P24" s="26" t="str">
        <x:v>https://www.dndbeyond.com/sources/dnd/br-2024/equipment</x:v>
      </x:c>
    </x:row>
    <x:row r="25" ht="54" customHeight="1">
      <x:c r="A25" s="28" t="n">
        <x:v>21</x:v>
      </x:c>
      <x:c r="B25" s="26" t="str">
        <x:v>Воинское ближнее</x:v>
      </x:c>
      <x:c r="C25" s="26" t="str">
        <x:v>Длинное копьё</x:v>
      </x:c>
      <x:c r="D25" s="26" t="str">
        <x:v>Lance</x:v>
      </x:c>
      <x:c r="E25" s="26" t="str">
        <x:v>1к10 колющий; тяжёлое, досягаемость, двуручное без верховой езды; мастерство: Опрокидывание</x:v>
      </x:c>
      <x:c r="F25" s="26" t="str">
        <x:v>Атака использует верную кость/тип урона, свойства, дистанцию, боеприпасы и мастерство.</x:v>
      </x:c>
      <x:c r="G25" s="29" t="str">
        <x:v>CARD-0320</x:v>
      </x:c>
      <x:c r="H25" s="29" t="str">
        <x:v>Matched</x:v>
      </x:c>
      <x:c r="I25" s="29" t="n">
        <x:v>1</x:v>
      </x:c>
      <x:c r="J25" s="26" t="str">
        <x:v>Pass</x:v>
      </x:c>
      <x:c r="K25" s="26" t="str">
        <x:v>Pass</x:v>
      </x:c>
      <x:c r="L25" s="26" t="str">
        <x:v>Pass</x:v>
      </x:c>
      <x:c r="M25" s="26" t="str">
        <x:v>7382a1e6-f7a2-45ca-8370-38f119845791</x:v>
      </x:c>
      <x:c r="N25" s="26" t="str">
        <x:v>Pass</x:v>
      </x:c>
      <x:c r="O25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c884b31f-565f-45cc-93e0-5790537c67c3</x:v>
      </x:c>
      <x:c r="P25" s="26" t="str">
        <x:v>https://www.dndbeyond.com/sources/dnd/br-2024/equipment</x:v>
      </x:c>
    </x:row>
    <x:row r="26" ht="54" customHeight="1">
      <x:c r="A26" s="28" t="n">
        <x:v>22</x:v>
      </x:c>
      <x:c r="B26" s="26" t="str">
        <x:v>Воинское ближнее</x:v>
      </x:c>
      <x:c r="C26" s="26" t="str">
        <x:v>Длинный меч</x:v>
      </x:c>
      <x:c r="D26" s="26" t="str">
        <x:v>Longsword</x:v>
      </x:c>
      <x:c r="E26" s="26" t="str">
        <x:v>1к8 рубящий; универсальное 1к10; мастерство: Ослабление</x:v>
      </x:c>
      <x:c r="F26" s="26" t="str">
        <x:v>Атака использует верную кость/тип урона, свойства, дистанцию, боеприпасы и мастерство.</x:v>
      </x:c>
      <x:c r="G26" s="29" t="str">
        <x:v>CARD-0319</x:v>
      </x:c>
      <x:c r="H26" s="29" t="str">
        <x:v>Matched</x:v>
      </x:c>
      <x:c r="I26" s="29" t="n">
        <x:v>1</x:v>
      </x:c>
      <x:c r="J26" s="26" t="str">
        <x:v>Pass</x:v>
      </x:c>
      <x:c r="K26" s="26" t="str">
        <x:v>Pass</x:v>
      </x:c>
      <x:c r="L26" s="26" t="str">
        <x:v>Pass</x:v>
      </x:c>
      <x:c r="M26" s="26" t="str">
        <x:v>7382a1e6-f7a2-45ca-8370-38f119845791</x:v>
      </x:c>
      <x:c r="N26" s="26" t="str">
        <x:v>Pass</x:v>
      </x:c>
      <x:c r="O26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e68a30ff-b0e5-41cf-b007-ddc5eb319750</x:v>
      </x:c>
      <x:c r="P26" s="26" t="str">
        <x:v>https://www.dndbeyond.com/sources/dnd/br-2024/equipment</x:v>
      </x:c>
    </x:row>
    <x:row r="27" ht="54" customHeight="1">
      <x:c r="A27" s="28" t="n">
        <x:v>23</x:v>
      </x:c>
      <x:c r="B27" s="26" t="str">
        <x:v>Воинское ближнее</x:v>
      </x:c>
      <x:c r="C27" s="26" t="str">
        <x:v>Молот</x:v>
      </x:c>
      <x:c r="D27" s="26" t="str">
        <x:v>Maul</x:v>
      </x:c>
      <x:c r="E27" s="26" t="str">
        <x:v>2к6 дробящий; тяжёлое, двуручное; мастерство: Опрокидывание</x:v>
      </x:c>
      <x:c r="F27" s="26" t="str">
        <x:v>Атака использует верную кость/тип урона, свойства, дистанцию, боеприпасы и мастерство.</x:v>
      </x:c>
      <x:c r="G27" s="29" t="str">
        <x:v>CARD-0315</x:v>
      </x:c>
      <x:c r="H27" s="29" t="str">
        <x:v>Matched</x:v>
      </x:c>
      <x:c r="I27" s="29" t="n">
        <x:v>1</x:v>
      </x:c>
      <x:c r="J27" s="26" t="str">
        <x:v>Pass</x:v>
      </x:c>
      <x:c r="K27" s="26" t="str">
        <x:v>Pass</x:v>
      </x:c>
      <x:c r="L27" s="26" t="str">
        <x:v>Pass</x:v>
      </x:c>
      <x:c r="M27" s="26" t="str">
        <x:v>7382a1e6-f7a2-45ca-8370-38f119845791</x:v>
      </x:c>
      <x:c r="N27" s="26" t="str">
        <x:v>Pass</x:v>
      </x:c>
      <x:c r="O27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c4d1006f-d300-43c2-b2c5-e9781fc2d3b7</x:v>
      </x:c>
      <x:c r="P27" s="26" t="str">
        <x:v>https://www.dndbeyond.com/sources/dnd/br-2024/equipment</x:v>
      </x:c>
    </x:row>
    <x:row r="28" ht="54" customHeight="1">
      <x:c r="A28" s="28" t="n">
        <x:v>24</x:v>
      </x:c>
      <x:c r="B28" s="26" t="str">
        <x:v>Воинское ближнее</x:v>
      </x:c>
      <x:c r="C28" s="26" t="str">
        <x:v>Моргенштерн</x:v>
      </x:c>
      <x:c r="D28" s="26" t="str">
        <x:v>Morningstar</x:v>
      </x:c>
      <x:c r="E28" s="26" t="str">
        <x:v>1к8 колющий; —; мастерство: Ослабление</x:v>
      </x:c>
      <x:c r="F28" s="26" t="str">
        <x:v>Атака использует верную кость/тип урона, свойства, дистанцию, боеприпасы и мастерство.</x:v>
      </x:c>
      <x:c r="G28" s="29" t="str">
        <x:v>CARD-B24-MORNINGSTAR</x:v>
      </x:c>
      <x:c r="H28" s="29" t="str">
        <x:v>Matched</x:v>
      </x:c>
      <x:c r="I28" s="29" t="n">
        <x:v>0</x:v>
      </x:c>
      <x:c r="J28" s="26" t="str">
        <x:v>Pass</x:v>
      </x:c>
      <x:c r="K28" s="26" t="str">
        <x:v>Pass</x:v>
      </x:c>
      <x:c r="L28" s="26" t="str">
        <x:v>Pass</x:v>
      </x:c>
      <x:c r="M28" s="26" t="str">
        <x:v>7382a1e6-f7a2-45ca-8370-38f119845791</x:v>
      </x:c>
      <x:c r="N28" s="26" t="str">
        <x:v>Pass</x:v>
      </x:c>
      <x:c r="O28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946b2b0d-8c45-4f8c-b718-c7135e41977a</x:v>
      </x:c>
      <x:c r="P28" s="26" t="str">
        <x:v>https://www.dndbeyond.com/sources/dnd/br-2024/equipment</x:v>
      </x:c>
    </x:row>
    <x:row r="29" ht="54" customHeight="1">
      <x:c r="A29" s="28" t="n">
        <x:v>25</x:v>
      </x:c>
      <x:c r="B29" s="26" t="str">
        <x:v>Воинское ближнее</x:v>
      </x:c>
      <x:c r="C29" s="26" t="str">
        <x:v>Пика</x:v>
      </x:c>
      <x:c r="D29" s="26" t="str">
        <x:v>Pike</x:v>
      </x:c>
      <x:c r="E29" s="26" t="str">
        <x:v>1к10 колющий; тяжёлое, досягаемость, двуручное; мастерство: Толчок</x:v>
      </x:c>
      <x:c r="F29" s="26" t="str">
        <x:v>Атака использует верную кость/тип урона, свойства, дистанцию, боеприпасы и мастерство.</x:v>
      </x:c>
      <x:c r="G29" s="29" t="str">
        <x:v>CARD-0314</x:v>
      </x:c>
      <x:c r="H29" s="29" t="str">
        <x:v>Matched</x:v>
      </x:c>
      <x:c r="I29" s="29" t="n">
        <x:v>1</x:v>
      </x:c>
      <x:c r="J29" s="26" t="str">
        <x:v>Pass</x:v>
      </x:c>
      <x:c r="K29" s="26" t="str">
        <x:v>Pass</x:v>
      </x:c>
      <x:c r="L29" s="26" t="str">
        <x:v>Pass</x:v>
      </x:c>
      <x:c r="M29" s="26" t="str">
        <x:v>7382a1e6-f7a2-45ca-8370-38f119845791</x:v>
      </x:c>
      <x:c r="N29" s="26" t="str">
        <x:v>Pass</x:v>
      </x:c>
      <x:c r="O29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1cd8b91d-6c27-4daa-8b25-64e2af5e09d7</x:v>
      </x:c>
      <x:c r="P29" s="26" t="str">
        <x:v>https://www.dndbeyond.com/sources/dnd/br-2024/equipment</x:v>
      </x:c>
    </x:row>
    <x:row r="30" ht="54" customHeight="1">
      <x:c r="A30" s="28" t="n">
        <x:v>26</x:v>
      </x:c>
      <x:c r="B30" s="26" t="str">
        <x:v>Воинское ближнее</x:v>
      </x:c>
      <x:c r="C30" s="26" t="str">
        <x:v>Рапира</x:v>
      </x:c>
      <x:c r="D30" s="26" t="str">
        <x:v>Rapier</x:v>
      </x:c>
      <x:c r="E30" s="26" t="str">
        <x:v>1к8 колющий; фехтовальное; мастерство: Отвлечение</x:v>
      </x:c>
      <x:c r="F30" s="26" t="str">
        <x:v>Атака использует верную кость/тип урона, свойства, дистанцию, боеприпасы и мастерство.</x:v>
      </x:c>
      <x:c r="G30" s="29" t="str">
        <x:v>CARD-0313</x:v>
      </x:c>
      <x:c r="H30" s="29" t="str">
        <x:v>Matched</x:v>
      </x:c>
      <x:c r="I30" s="29" t="n">
        <x:v>1</x:v>
      </x:c>
      <x:c r="J30" s="26" t="str">
        <x:v>Pass</x:v>
      </x:c>
      <x:c r="K30" s="26" t="str">
        <x:v>Pass</x:v>
      </x:c>
      <x:c r="L30" s="26" t="str">
        <x:v>Pass</x:v>
      </x:c>
      <x:c r="M30" s="26" t="str">
        <x:v>7382a1e6-f7a2-45ca-8370-38f119845791</x:v>
      </x:c>
      <x:c r="N30" s="26" t="str">
        <x:v>Pass</x:v>
      </x:c>
      <x:c r="O30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f3174079-dc40-4d97-9864-aa892755f870</x:v>
      </x:c>
      <x:c r="P30" s="26" t="str">
        <x:v>https://www.dndbeyond.com/sources/dnd/br-2024/equipment</x:v>
      </x:c>
    </x:row>
    <x:row r="31" ht="54" customHeight="1">
      <x:c r="A31" s="28" t="n">
        <x:v>27</x:v>
      </x:c>
      <x:c r="B31" s="26" t="str">
        <x:v>Воинское ближнее</x:v>
      </x:c>
      <x:c r="C31" s="26" t="str">
        <x:v>Скимитар</x:v>
      </x:c>
      <x:c r="D31" s="26" t="str">
        <x:v>Scimitar</x:v>
      </x:c>
      <x:c r="E31" s="26" t="str">
        <x:v>1к6 рубящий; фехтовальное, лёгкое; мастерство: Порез</x:v>
      </x:c>
      <x:c r="F31" s="26" t="str">
        <x:v>Атака использует верную кость/тип урона, свойства, дистанцию, боеприпасы и мастерство.</x:v>
      </x:c>
      <x:c r="G31" s="29" t="str">
        <x:v>CARD-0311</x:v>
      </x:c>
      <x:c r="H31" s="29" t="str">
        <x:v>Matched</x:v>
      </x:c>
      <x:c r="I31" s="29" t="n">
        <x:v>1</x:v>
      </x:c>
      <x:c r="J31" s="26" t="str">
        <x:v>Pass</x:v>
      </x:c>
      <x:c r="K31" s="26" t="str">
        <x:v>Pass</x:v>
      </x:c>
      <x:c r="L31" s="26" t="str">
        <x:v>Pass</x:v>
      </x:c>
      <x:c r="M31" s="26" t="str">
        <x:v>7382a1e6-f7a2-45ca-8370-38f119845791</x:v>
      </x:c>
      <x:c r="N31" s="26" t="str">
        <x:v>Pass</x:v>
      </x:c>
      <x:c r="O31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72712d28-8155-4ea6-9bb3-a378c10fb33b</x:v>
      </x:c>
      <x:c r="P31" s="26" t="str">
        <x:v>https://www.dndbeyond.com/sources/dnd/br-2024/equipment</x:v>
      </x:c>
    </x:row>
    <x:row r="32" ht="54" customHeight="1">
      <x:c r="A32" s="28" t="n">
        <x:v>28</x:v>
      </x:c>
      <x:c r="B32" s="26" t="str">
        <x:v>Воинское ближнее</x:v>
      </x:c>
      <x:c r="C32" s="26" t="str">
        <x:v>Короткий меч</x:v>
      </x:c>
      <x:c r="D32" s="26" t="str">
        <x:v>Shortsword</x:v>
      </x:c>
      <x:c r="E32" s="26" t="str">
        <x:v>1к6 колющий; фехтовальное, лёгкое; мастерство: Отвлечение</x:v>
      </x:c>
      <x:c r="F32" s="26" t="str">
        <x:v>Атака использует верную кость/тип урона, свойства, дистанцию, боеприпасы и мастерство.</x:v>
      </x:c>
      <x:c r="G32" s="29" t="str">
        <x:v>CARD-0316</x:v>
      </x:c>
      <x:c r="H32" s="29" t="str">
        <x:v>Matched</x:v>
      </x:c>
      <x:c r="I32" s="29" t="n">
        <x:v>2</x:v>
      </x:c>
      <x:c r="J32" s="26" t="str">
        <x:v>Pass</x:v>
      </x:c>
      <x:c r="K32" s="26" t="str">
        <x:v>Pass</x:v>
      </x:c>
      <x:c r="L32" s="26" t="str">
        <x:v>Pass</x:v>
      </x:c>
      <x:c r="M32" s="26" t="str">
        <x:v>7382a1e6-f7a2-45ca-8370-38f119845791</x:v>
      </x:c>
      <x:c r="N32" s="26" t="str">
        <x:v>Pass</x:v>
      </x:c>
      <x:c r="O32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d4cab4f1-ad9f-4626-a1e3-fec4baa6bbf4</x:v>
      </x:c>
      <x:c r="P32" s="26" t="str">
        <x:v>https://www.dndbeyond.com/sources/dnd/br-2024/equipment</x:v>
      </x:c>
    </x:row>
    <x:row r="33" ht="54" customHeight="1">
      <x:c r="A33" s="28" t="n">
        <x:v>29</x:v>
      </x:c>
      <x:c r="B33" s="26" t="str">
        <x:v>Воинское ближнее</x:v>
      </x:c>
      <x:c r="C33" s="26" t="str">
        <x:v>Трезубец</x:v>
      </x:c>
      <x:c r="D33" s="26" t="str">
        <x:v>Trident</x:v>
      </x:c>
      <x:c r="E33" s="26" t="str">
        <x:v>1к8 колющий; метательное 20/60, универсальное 1к10; мастерство: Опрокидывание</x:v>
      </x:c>
      <x:c r="F33" s="26" t="str">
        <x:v>Атака использует верную кость/тип урона, свойства, дистанцию, боеприпасы и мастерство.</x:v>
      </x:c>
      <x:c r="G33" s="29" t="str">
        <x:v>CARD-0310</x:v>
      </x:c>
      <x:c r="H33" s="29" t="str">
        <x:v>Matched</x:v>
      </x:c>
      <x:c r="I33" s="29" t="n">
        <x:v>1</x:v>
      </x:c>
      <x:c r="J33" s="26" t="str">
        <x:v>Pass</x:v>
      </x:c>
      <x:c r="K33" s="26" t="str">
        <x:v>Pass</x:v>
      </x:c>
      <x:c r="L33" s="26" t="str">
        <x:v>Pass</x:v>
      </x:c>
      <x:c r="M33" s="26" t="str">
        <x:v>7382a1e6-f7a2-45ca-8370-38f119845791</x:v>
      </x:c>
      <x:c r="N33" s="26" t="str">
        <x:v>Pass</x:v>
      </x:c>
      <x:c r="O33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a23f6a83-6401-4709-90b0-ea2bf99b95be</x:v>
      </x:c>
      <x:c r="P33" s="26" t="str">
        <x:v>https://www.dndbeyond.com/sources/dnd/br-2024/equipment</x:v>
      </x:c>
    </x:row>
    <x:row r="34" ht="54" customHeight="1">
      <x:c r="A34" s="28" t="n">
        <x:v>30</x:v>
      </x:c>
      <x:c r="B34" s="26" t="str">
        <x:v>Воинское ближнее</x:v>
      </x:c>
      <x:c r="C34" s="26" t="str">
        <x:v>Боевой молот</x:v>
      </x:c>
      <x:c r="D34" s="26" t="str">
        <x:v>Warhammer</x:v>
      </x:c>
      <x:c r="E34" s="26" t="str">
        <x:v>1к8 дробящий; универсальное 1к10; мастерство: Толчок</x:v>
      </x:c>
      <x:c r="F34" s="26" t="str">
        <x:v>Атака использует верную кость/тип урона, свойства, дистанцию, боеприпасы и мастерство.</x:v>
      </x:c>
      <x:c r="G34" s="29" t="str">
        <x:v>CARD-0323</x:v>
      </x:c>
      <x:c r="H34" s="29" t="str">
        <x:v>Matched</x:v>
      </x:c>
      <x:c r="I34" s="29" t="n">
        <x:v>1</x:v>
      </x:c>
      <x:c r="J34" s="26" t="str">
        <x:v>Pass</x:v>
      </x:c>
      <x:c r="K34" s="26" t="str">
        <x:v>Pass</x:v>
      </x:c>
      <x:c r="L34" s="26" t="str">
        <x:v>Pass</x:v>
      </x:c>
      <x:c r="M34" s="26" t="str">
        <x:v>7382a1e6-f7a2-45ca-8370-38f119845791</x:v>
      </x:c>
      <x:c r="N34" s="26" t="str">
        <x:v>Pass</x:v>
      </x:c>
      <x:c r="O34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0d110251-a3bc-4b81-b796-b1bfb514c20b</x:v>
      </x:c>
      <x:c r="P34" s="26" t="str">
        <x:v>https://www.dndbeyond.com/sources/dnd/br-2024/equipment</x:v>
      </x:c>
    </x:row>
    <x:row r="35" ht="54" customHeight="1">
      <x:c r="A35" s="28" t="n">
        <x:v>31</x:v>
      </x:c>
      <x:c r="B35" s="26" t="str">
        <x:v>Воинское ближнее</x:v>
      </x:c>
      <x:c r="C35" s="26" t="str">
        <x:v>Боевая кирка</x:v>
      </x:c>
      <x:c r="D35" s="26" t="str">
        <x:v>War Pick</x:v>
      </x:c>
      <x:c r="E35" s="26" t="str">
        <x:v>1к8 колющий; универсальное 1к10; мастерство: Ослабление</x:v>
      </x:c>
      <x:c r="F35" s="26" t="str">
        <x:v>Атака использует верную кость/тип урона, свойства, дистанцию, боеприпасы и мастерство.</x:v>
      </x:c>
      <x:c r="G35" s="29" t="str">
        <x:v>CARD-0324</x:v>
      </x:c>
      <x:c r="H35" s="29" t="str">
        <x:v>Matched</x:v>
      </x:c>
      <x:c r="I35" s="29" t="n">
        <x:v>1</x:v>
      </x:c>
      <x:c r="J35" s="26" t="str">
        <x:v>Pass</x:v>
      </x:c>
      <x:c r="K35" s="26" t="str">
        <x:v>Pass</x:v>
      </x:c>
      <x:c r="L35" s="26" t="str">
        <x:v>Pass</x:v>
      </x:c>
      <x:c r="M35" s="26" t="str">
        <x:v>7382a1e6-f7a2-45ca-8370-38f119845791</x:v>
      </x:c>
      <x:c r="N35" s="26" t="str">
        <x:v>Pass</x:v>
      </x:c>
      <x:c r="O35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174305a4-bbb6-4f7d-904e-1f337aeec244</x:v>
      </x:c>
      <x:c r="P35" s="26" t="str">
        <x:v>https://www.dndbeyond.com/sources/dnd/br-2024/equipment</x:v>
      </x:c>
    </x:row>
    <x:row r="36" ht="54" customHeight="1">
      <x:c r="A36" s="28" t="n">
        <x:v>32</x:v>
      </x:c>
      <x:c r="B36" s="26" t="str">
        <x:v>Воинское ближнее</x:v>
      </x:c>
      <x:c r="C36" s="26" t="str">
        <x:v>Кнут</x:v>
      </x:c>
      <x:c r="D36" s="26" t="str">
        <x:v>Whip</x:v>
      </x:c>
      <x:c r="E36" s="26" t="str">
        <x:v>1к4 рубящий; фехтовальное, досягаемость; мастерство: Замедление</x:v>
      </x:c>
      <x:c r="F36" s="26" t="str">
        <x:v>Атака использует верную кость/тип урона, свойства, дистанцию, боеприпасы и мастерство.</x:v>
      </x:c>
      <x:c r="G36" s="29" t="str">
        <x:v>CARD-0318</x:v>
      </x:c>
      <x:c r="H36" s="29" t="str">
        <x:v>Matched</x:v>
      </x:c>
      <x:c r="I36" s="29" t="n">
        <x:v>1</x:v>
      </x:c>
      <x:c r="J36" s="26" t="str">
        <x:v>Pass</x:v>
      </x:c>
      <x:c r="K36" s="26" t="str">
        <x:v>Pass</x:v>
      </x:c>
      <x:c r="L36" s="26" t="str">
        <x:v>Pass</x:v>
      </x:c>
      <x:c r="M36" s="26" t="str">
        <x:v>7382a1e6-f7a2-45ca-8370-38f119845791</x:v>
      </x:c>
      <x:c r="N36" s="26" t="str">
        <x:v>Pass</x:v>
      </x:c>
      <x:c r="O36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9233b025-f7b3-49a8-bfd0-25e76250e2dc</x:v>
      </x:c>
      <x:c r="P36" s="26" t="str">
        <x:v>https://www.dndbeyond.com/sources/dnd/br-2024/equipment</x:v>
      </x:c>
    </x:row>
    <x:row r="37" ht="54" customHeight="1">
      <x:c r="A37" s="28" t="n">
        <x:v>33</x:v>
      </x:c>
      <x:c r="B37" s="26" t="str">
        <x:v>Воинское дальнобойное</x:v>
      </x:c>
      <x:c r="C37" s="26" t="str">
        <x:v>Духовая трубка</x:v>
      </x:c>
      <x:c r="D37" s="26" t="str">
        <x:v>Blowgun</x:v>
      </x:c>
      <x:c r="E37" s="26" t="str">
        <x:v>1 колющий; боеприпас 25/100, перезарядка; мастерство: Отвлечение</x:v>
      </x:c>
      <x:c r="F37" s="26" t="str">
        <x:v>Атака использует верную кость/тип урона, свойства, дистанцию, боеприпасы и мастерство.</x:v>
      </x:c>
      <x:c r="G37" s="29" t="str">
        <x:v>CARD-0326</x:v>
      </x:c>
      <x:c r="H37" s="29" t="str">
        <x:v>Matched</x:v>
      </x:c>
      <x:c r="I37" s="29" t="n">
        <x:v>1</x:v>
      </x:c>
      <x:c r="J37" s="26" t="str">
        <x:v>Pass</x:v>
      </x:c>
      <x:c r="K37" s="26" t="str">
        <x:v>Pass</x:v>
      </x:c>
      <x:c r="L37" s="26" t="str">
        <x:v>Pass</x:v>
      </x:c>
      <x:c r="M37" s="26" t="str">
        <x:v>7382a1e6-f7a2-45ca-8370-38f119845791</x:v>
      </x:c>
      <x:c r="N37" s="26" t="str">
        <x:v>Pass</x:v>
      </x:c>
      <x:c r="O37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1b38211a-e3ad-40cb-b3f2-b3bda7df5c73</x:v>
      </x:c>
      <x:c r="P37" s="26" t="str">
        <x:v>https://www.dndbeyond.com/sources/dnd/br-2024/equipment</x:v>
      </x:c>
    </x:row>
    <x:row r="38" ht="54" customHeight="1">
      <x:c r="A38" s="28" t="n">
        <x:v>34</x:v>
      </x:c>
      <x:c r="B38" s="26" t="str">
        <x:v>Воинское дальнобойное</x:v>
      </x:c>
      <x:c r="C38" s="26" t="str">
        <x:v>Арбалет, ручной</x:v>
      </x:c>
      <x:c r="D38" s="26" t="str">
        <x:v>Hand Crossbow</x:v>
      </x:c>
      <x:c r="E38" s="26" t="str">
        <x:v>1к6 колющий; боеприпас 30/120, лёгкое, перезарядка; мастерство: Отвлечение</x:v>
      </x:c>
      <x:c r="F38" s="26" t="str">
        <x:v>Атака использует верную кость/тип урона, свойства, дистанцию, боеприпасы и мастерство.</x:v>
      </x:c>
      <x:c r="G38" s="29" t="str">
        <x:v>CARD-0329</x:v>
      </x:c>
      <x:c r="H38" s="29" t="str">
        <x:v>Matched</x:v>
      </x:c>
      <x:c r="I38" s="29" t="n">
        <x:v>0</x:v>
      </x:c>
      <x:c r="J38" s="26" t="str">
        <x:v>Pass</x:v>
      </x:c>
      <x:c r="K38" s="26" t="str">
        <x:v>Pass</x:v>
      </x:c>
      <x:c r="L38" s="26" t="str">
        <x:v>Pass</x:v>
      </x:c>
      <x:c r="M38" s="26" t="str">
        <x:v>7382a1e6-f7a2-45ca-8370-38f119845791</x:v>
      </x:c>
      <x:c r="N38" s="26" t="str">
        <x:v>Pass</x:v>
      </x:c>
      <x:c r="O38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2b0507f3-c3f3-4d05-a432-6bdfad13a025</x:v>
      </x:c>
      <x:c r="P38" s="26" t="str">
        <x:v>https://www.dndbeyond.com/sources/dnd/br-2024/equipment</x:v>
      </x:c>
    </x:row>
    <x:row r="39" ht="54" customHeight="1">
      <x:c r="A39" s="28" t="n">
        <x:v>35</x:v>
      </x:c>
      <x:c r="B39" s="26" t="str">
        <x:v>Воинское дальнобойное</x:v>
      </x:c>
      <x:c r="C39" s="26" t="str">
        <x:v>Арбалет, тяжёлый</x:v>
      </x:c>
      <x:c r="D39" s="26" t="str">
        <x:v>Heavy Crossbow</x:v>
      </x:c>
      <x:c r="E39" s="26" t="str">
        <x:v>1к10 колющий; боеприпас 100/400, тяжёлое, перезарядка, двуручное; мастерство: Толчок</x:v>
      </x:c>
      <x:c r="F39" s="26" t="str">
        <x:v>Атака использует верную кость/тип урона, свойства, дистанцию, боеприпасы и мастерство.</x:v>
      </x:c>
      <x:c r="G39" s="29" t="str">
        <x:v>CARD-0328</x:v>
      </x:c>
      <x:c r="H39" s="29" t="str">
        <x:v>Matched</x:v>
      </x:c>
      <x:c r="I39" s="29" t="n">
        <x:v>0</x:v>
      </x:c>
      <x:c r="J39" s="26" t="str">
        <x:v>Pass</x:v>
      </x:c>
      <x:c r="K39" s="26" t="str">
        <x:v>Pass</x:v>
      </x:c>
      <x:c r="L39" s="26" t="str">
        <x:v>Pass</x:v>
      </x:c>
      <x:c r="M39" s="26" t="str">
        <x:v>7382a1e6-f7a2-45ca-8370-38f119845791</x:v>
      </x:c>
      <x:c r="N39" s="26" t="str">
        <x:v>Pass</x:v>
      </x:c>
      <x:c r="O39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d73678a7-9f90-4f9e-86af-987465a1e612</x:v>
      </x:c>
      <x:c r="P39" s="26" t="str">
        <x:v>https://www.dndbeyond.com/sources/dnd/br-2024/equipment</x:v>
      </x:c>
    </x:row>
    <x:row r="40" ht="54" customHeight="1">
      <x:c r="A40" s="28" t="n">
        <x:v>36</x:v>
      </x:c>
      <x:c r="B40" s="26" t="str">
        <x:v>Воинское дальнобойное</x:v>
      </x:c>
      <x:c r="C40" s="26" t="str">
        <x:v>Длинный лук</x:v>
      </x:c>
      <x:c r="D40" s="26" t="str">
        <x:v>Longbow</x:v>
      </x:c>
      <x:c r="E40" s="26" t="str">
        <x:v>1к8 колющий; боеприпас 150/600, тяжёлое, двуручное; мастерство: Замедление</x:v>
      </x:c>
      <x:c r="F40" s="26" t="str">
        <x:v>Атака использует верную кость/тип урона, свойства, дистанцию, боеприпасы и мастерство.</x:v>
      </x:c>
      <x:c r="G40" s="29" t="str">
        <x:v>CARD-0327</x:v>
      </x:c>
      <x:c r="H40" s="29" t="str">
        <x:v>Matched</x:v>
      </x:c>
      <x:c r="I40" s="29" t="n">
        <x:v>2</x:v>
      </x:c>
      <x:c r="J40" s="26" t="str">
        <x:v>Pass</x:v>
      </x:c>
      <x:c r="K40" s="26" t="str">
        <x:v>Pass</x:v>
      </x:c>
      <x:c r="L40" s="26" t="str">
        <x:v>Pass</x:v>
      </x:c>
      <x:c r="M40" s="26" t="str">
        <x:v>7382a1e6-f7a2-45ca-8370-38f119845791</x:v>
      </x:c>
      <x:c r="N40" s="26" t="str">
        <x:v>Pass</x:v>
      </x:c>
      <x:c r="O40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cc1ac793-af4f-45aa-87e2-bd563c734bef</x:v>
      </x:c>
      <x:c r="P40" s="26" t="str">
        <x:v>https://www.dndbeyond.com/sources/dnd/br-2024/equipment</x:v>
      </x:c>
    </x:row>
    <x:row r="41" ht="54" customHeight="1">
      <x:c r="A41" s="28" t="n">
        <x:v>37</x:v>
      </x:c>
      <x:c r="B41" s="26" t="str">
        <x:v>Воинское дальнобойное</x:v>
      </x:c>
      <x:c r="C41" s="26" t="str">
        <x:v>Мушкет</x:v>
      </x:c>
      <x:c r="D41" s="26" t="str">
        <x:v>Musket</x:v>
      </x:c>
      <x:c r="E41" s="26" t="str">
        <x:v>1к12 колющий; боеприпас 40/120, перезарядка, двуручное; мастерство: Замедление</x:v>
      </x:c>
      <x:c r="F41" s="26" t="str">
        <x:v>Атака использует верную кость/тип урона, свойства, дистанцию, боеприпасы и мастерство.</x:v>
      </x:c>
      <x:c r="G41" s="29" t="str">
        <x:v>CARD-0837</x:v>
      </x:c>
      <x:c r="H41" s="29" t="str">
        <x:v>Matched</x:v>
      </x:c>
      <x:c r="I41" s="29" t="n">
        <x:v>0</x:v>
      </x:c>
      <x:c r="J41" s="26" t="str">
        <x:v>Pass</x:v>
      </x:c>
      <x:c r="K41" s="26" t="str">
        <x:v>Pass</x:v>
      </x:c>
      <x:c r="L41" s="26" t="str">
        <x:v>Pass</x:v>
      </x:c>
      <x:c r="M41" s="26" t="str">
        <x:v>7382a1e6-f7a2-45ca-8370-38f119845791</x:v>
      </x:c>
      <x:c r="N41" s="26" t="str">
        <x:v>Pass</x:v>
      </x:c>
      <x:c r="O41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88dfa857-f487-4d33-915a-e864895a9a11</x:v>
      </x:c>
      <x:c r="P41" s="26" t="str">
        <x:v>https://www.dndbeyond.com/sources/dnd/br-2024/equipment</x:v>
      </x:c>
    </x:row>
    <x:row r="42" ht="54" customHeight="1">
      <x:c r="A42" s="28" t="n">
        <x:v>38</x:v>
      </x:c>
      <x:c r="B42" s="26" t="str">
        <x:v>Воинское дальнобойное</x:v>
      </x:c>
      <x:c r="C42" s="26" t="str">
        <x:v>Пистоль</x:v>
      </x:c>
      <x:c r="D42" s="26" t="str">
        <x:v>Pistol</x:v>
      </x:c>
      <x:c r="E42" s="26" t="str">
        <x:v>1к10 колющий; боеприпас 30/90, перезарядка; мастерство: Отвлечение</x:v>
      </x:c>
      <x:c r="F42" s="26" t="str">
        <x:v>Атака использует верную кость/тип урона, свойства, дистанцию, боеприпасы и мастерство.</x:v>
      </x:c>
      <x:c r="G42" s="29" t="str">
        <x:v>CARD-0838</x:v>
      </x:c>
      <x:c r="H42" s="29" t="str">
        <x:v>Matched</x:v>
      </x:c>
      <x:c r="I42" s="29" t="n">
        <x:v>0</x:v>
      </x:c>
      <x:c r="J42" s="26" t="str">
        <x:v>Pass</x:v>
      </x:c>
      <x:c r="K42" s="26" t="str">
        <x:v>Pass</x:v>
      </x:c>
      <x:c r="L42" s="26" t="str">
        <x:v>Pass</x:v>
      </x:c>
      <x:c r="M42" s="26" t="str">
        <x:v>7382a1e6-f7a2-45ca-8370-38f119845791</x:v>
      </x:c>
      <x:c r="N42" s="26" t="str">
        <x:v>Pass</x:v>
      </x:c>
      <x:c r="O42" s="26" t="str">
        <x:v>All 38 weapon cards were opened in the production sheet. Damage, melee/ranged modes, ranges, properties and localized mastery are visible. Shared live attack contract verified with Club (+5, 1d4+3, 5 ft, Slow); catalog and ammo bindings covered by focused executable contracts. Production id: 37398fdf-0291-405b-881a-58ddf0fee3fd</x:v>
      </x:c>
      <x:c r="P42" s="26" t="str">
        <x:v>https://www.dndbeyond.com/sources/dnd/br-2024/equipment</x:v>
      </x:c>
    </x:row>
  </x:sheetData>
  <x:mergeCells>
    <x:mergeCell ref="A1:P2"/>
    <x:mergeCell ref="A3:P3"/>
  </x:mergeCells>
  <x:conditionalFormatting sqref="N5:N42">
    <x:cfRule type="containsText" dxfId="0" priority="1" operator="containsText" text="Pass"/>
    <x:cfRule type="containsText" dxfId="1" priority="2" operator="containsText" text="Fail"/>
  </x:conditionalFormatting>
  <x:conditionalFormatting sqref="H5:H42">
    <x:cfRule type="containsText" dxfId="2" priority="3" operator="containsText" text="Missing"/>
  </x:conditionalFormatting>
  <x:dataValidations count="4">
    <x:dataValidation type="list" sqref="J5:J42">
      <x:formula1>"Pending,Pass,Fail,Blocked,N/A"</x:formula1>
    </x:dataValidation>
    <x:dataValidation type="list" sqref="K5:K42">
      <x:formula1>"Pending,Pass,Fail,Blocked,N/A"</x:formula1>
    </x:dataValidation>
    <x:dataValidation type="list" sqref="L5:L42">
      <x:formula1>"Pending,Pass,Fail,Blocked,N/A"</x:formula1>
    </x:dataValidation>
    <x:dataValidation type="list" sqref="N5:N42">
      <x:formula1>"Pending,Pass,Fail,Blocked,N/A"</x:formula1>
    </x:dataValidation>
  </x:dataValidations>
  <x:pageMargins left="0.7" right="0.7" top="0.75" bottom="0.75" header="0.3" footer="0.3"/>
  <x:legacyDrawing xmlns:r="http://schemas.openxmlformats.org/officeDocument/2006/relationships" r:id="R102ae6a0475e43de"/>
  <x:tableParts count="1">
    <x:tablePart xmlns:r="http://schemas.openxmlformats.org/officeDocument/2006/relationships" r:id="R539ebc0d670540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8" hidden="0" customWidth="1"/>
    <x:col min="4" max="4" width="24" hidden="0" customWidth="1"/>
    <x:col min="5" max="5" width="46" hidden="0" customWidth="1"/>
    <x:col min="6" max="6" width="48" hidden="0" customWidth="1"/>
    <x:col min="7" max="7" width="18" hidden="0" customWidth="1"/>
    <x:col min="8" max="8" width="12" hidden="0" customWidth="1"/>
    <x:col min="9" max="9" width="11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12" hidden="0" customWidth="1"/>
    <x:col min="15" max="15" width="48" hidden="0" customWidth="1"/>
    <x:col min="16" max="16" width="26" hidden="0" customWidth="1"/>
  </x:cols>
  <x:sheetData>
    <x:row r="1" ht="30" customHeight="1">
      <x:c r="A1" s="18" t="str">
        <x:v>D&amp;D 2024 — Armor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30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 ht="30" customHeight="1">
      <x:c r="A3" s="20" t="str">
        <x:v>Manual evidence belongs in test/result cells and threaded comments. Do not certify an item with a failed or blocked relevant dimension.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</x:row>
    <x:row r="4" ht="30" customHeight="1">
      <x:c r="A4" s="22" t="str">
        <x:v>#</x:v>
      </x:c>
      <x:c r="B4" s="22" t="str">
        <x:v>Category</x:v>
      </x:c>
      <x:c r="C4" s="22" t="str">
        <x:v>Name (RU)</x:v>
      </x:c>
      <x:c r="D4" s="22" t="str">
        <x:v>Name (EN)</x:v>
      </x:c>
      <x:c r="E4" s="22" t="str">
        <x:v>Official rule</x:v>
      </x:c>
      <x:c r="F4" s="22" t="str">
        <x:v>Expected mechanic</x:v>
      </x:c>
      <x:c r="G4" s="22" t="str">
        <x:v>Card number</x:v>
      </x:c>
      <x:c r="H4" s="22" t="str">
        <x:v>Catalog</x:v>
      </x:c>
      <x:c r="I4" s="22" t="str">
        <x:v>Duplicates</x:v>
      </x:c>
      <x:c r="J4" s="22" t="str">
        <x:v>Sheet test</x:v>
      </x:c>
      <x:c r="K4" s="22" t="str">
        <x:v>Combat test</x:v>
      </x:c>
      <x:c r="L4" s="22" t="str">
        <x:v>Clarity test</x:v>
      </x:c>
      <x:c r="M4" s="22" t="str">
        <x:v>Character ID(s)</x:v>
      </x:c>
      <x:c r="N4" s="22" t="str">
        <x:v>Status</x:v>
      </x:c>
      <x:c r="O4" s="22" t="str">
        <x:v>Findings / bug</x:v>
      </x:c>
      <x:c r="P4" s="22" t="str">
        <x:v>Source</x:v>
      </x:c>
    </x:row>
    <x:row r="5" ht="54" customHeight="1">
      <x:c r="A5" s="28" t="n">
        <x:v>1</x:v>
      </x:c>
      <x:c r="B5" s="26" t="str">
        <x:v>Лёгкий</x:v>
      </x:c>
      <x:c r="C5" s="26" t="str">
        <x:v>Стёганый доспех</x:v>
      </x:c>
      <x:c r="D5" s="26" t="str">
        <x:v>Padded Armor</x:v>
      </x:c>
      <x:c r="E5" s="26" t="str">
        <x:v>11 + ЛОВ; помеха Скрытности</x:v>
      </x:c>
      <x:c r="F5" s="26" t="str">
        <x:v>Экипировка меняет КД; требования Силы, помеха Скрытности и владение видимы и применяются.</x:v>
      </x:c>
      <x:c r="G5" s="29" t="str">
        <x:v>CARD-0247</x:v>
      </x:c>
      <x:c r="H5" s="29" t="str">
        <x:v>Matched</x:v>
      </x:c>
      <x:c r="I5" s="29" t="n">
        <x:v>2</x:v>
      </x:c>
      <x:c r="J5" s="26" t="str">
        <x:v>Pass</x:v>
      </x:c>
      <x:c r="K5" s="26" t="str">
        <x:v>Pass</x:v>
      </x:c>
      <x:c r="L5" s="26" t="str">
        <x:v>Pass</x:v>
      </x:c>
      <x:c r="M5" s="26" t="str">
        <x:v>65273dd7-771c-40d6-aa1c-61cf6a041a91; 2e4d02a6-fcbe-4a67-95f8-4b2b81b75791</x:v>
      </x:c>
      <x:c r="N5" s="26" t="str">
        <x:v>Pass</x:v>
      </x:c>
      <x:c r="O5" s="26" t="str">
        <x:v>Production equip pass: all body armor AC values matched the 2024 formulas (including Defense +1), Shield added +2. Untrained Chain Mail showed speed 20, disabled spells, and 2d20 Strength/Dexterity d20 tests. Production id: ba1e3f81-d6dc-4489-a200-8de8a2ceeecc</x:v>
      </x:c>
      <x:c r="P5" s="26" t="str">
        <x:v>https://www.dndbeyond.com/sources/dnd/br-2024/equipment</x:v>
      </x:c>
    </x:row>
    <x:row r="6" ht="54" customHeight="1">
      <x:c r="A6" s="28" t="n">
        <x:v>2</x:v>
      </x:c>
      <x:c r="B6" s="26" t="str">
        <x:v>Лёгкий</x:v>
      </x:c>
      <x:c r="C6" s="26" t="str">
        <x:v>Кожаный доспех</x:v>
      </x:c>
      <x:c r="D6" s="26" t="str">
        <x:v>Leather Armor</x:v>
      </x:c>
      <x:c r="E6" s="26" t="str">
        <x:v>11 + ЛОВ</x:v>
      </x:c>
      <x:c r="F6" s="26" t="str">
        <x:v>Экипировка меняет КД; требования Силы, помеха Скрытности и владение видимы и применяются.</x:v>
      </x:c>
      <x:c r="G6" s="29" t="str">
        <x:v>CARD-0275</x:v>
      </x:c>
      <x:c r="H6" s="29" t="str">
        <x:v>Matched</x:v>
      </x:c>
      <x:c r="I6" s="29" t="n">
        <x:v>4</x:v>
      </x:c>
      <x:c r="J6" s="26" t="str">
        <x:v>Pass</x:v>
      </x:c>
      <x:c r="K6" s="26" t="str">
        <x:v>Pass</x:v>
      </x:c>
      <x:c r="L6" s="26" t="str">
        <x:v>Pass</x:v>
      </x:c>
      <x:c r="M6" s="26" t="str">
        <x:v>65273dd7-771c-40d6-aa1c-61cf6a041a91; 2e4d02a6-fcbe-4a67-95f8-4b2b81b75791</x:v>
      </x:c>
      <x:c r="N6" s="26" t="str">
        <x:v>Pass</x:v>
      </x:c>
      <x:c r="O6" s="26" t="str">
        <x:v>Production equip pass: all body armor AC values matched the 2024 formulas (including Defense +1), Shield added +2. Untrained Chain Mail showed speed 20, disabled spells, and 2d20 Strength/Dexterity d20 tests. Production id: 0e678d76-70ba-4036-b55b-60532f18e2e8</x:v>
      </x:c>
      <x:c r="P6" s="26" t="str">
        <x:v>https://www.dndbeyond.com/sources/dnd/br-2024/equipment</x:v>
      </x:c>
    </x:row>
    <x:row r="7" ht="54" customHeight="1">
      <x:c r="A7" s="28" t="n">
        <x:v>3</x:v>
      </x:c>
      <x:c r="B7" s="26" t="str">
        <x:v>Лёгкий</x:v>
      </x:c>
      <x:c r="C7" s="26" t="str">
        <x:v>Проклёпанный кожаный доспех</x:v>
      </x:c>
      <x:c r="D7" s="26" t="str">
        <x:v>Studded Leather Armor</x:v>
      </x:c>
      <x:c r="E7" s="26" t="str">
        <x:v>12 + ЛОВ</x:v>
      </x:c>
      <x:c r="F7" s="26" t="str">
        <x:v>Экипировка меняет КД; требования Силы, помеха Скрытности и владение видимы и применяются.</x:v>
      </x:c>
      <x:c r="G7" s="29" t="str">
        <x:v>CARD-0276</x:v>
      </x:c>
      <x:c r="H7" s="29" t="str">
        <x:v>Matched</x:v>
      </x:c>
      <x:c r="I7" s="29" t="n">
        <x:v>4</x:v>
      </x:c>
      <x:c r="J7" s="26" t="str">
        <x:v>Pass</x:v>
      </x:c>
      <x:c r="K7" s="26" t="str">
        <x:v>Pass</x:v>
      </x:c>
      <x:c r="L7" s="26" t="str">
        <x:v>Pass</x:v>
      </x:c>
      <x:c r="M7" s="26" t="str">
        <x:v>65273dd7-771c-40d6-aa1c-61cf6a041a91; 2e4d02a6-fcbe-4a67-95f8-4b2b81b75791</x:v>
      </x:c>
      <x:c r="N7" s="26" t="str">
        <x:v>Pass</x:v>
      </x:c>
      <x:c r="O7" s="26" t="str">
        <x:v>Production equip pass: all body armor AC values matched the 2024 formulas (including Defense +1), Shield added +2. Untrained Chain Mail showed speed 20, disabled spells, and 2d20 Strength/Dexterity d20 tests. Production id: 40f34fed-b99a-47e5-8dc0-a07a809ac1c2</x:v>
      </x:c>
      <x:c r="P7" s="26" t="str">
        <x:v>https://www.dndbeyond.com/sources/dnd/br-2024/equipment</x:v>
      </x:c>
    </x:row>
    <x:row r="8" ht="54" customHeight="1">
      <x:c r="A8" s="28" t="n">
        <x:v>4</x:v>
      </x:c>
      <x:c r="B8" s="26" t="str">
        <x:v>Средний</x:v>
      </x:c>
      <x:c r="C8" s="26" t="str">
        <x:v>Шкурный доспех</x:v>
      </x:c>
      <x:c r="D8" s="26" t="str">
        <x:v>Hide Armor</x:v>
      </x:c>
      <x:c r="E8" s="26" t="str">
        <x:v>12 + ЛОВ (макс. 2)</x:v>
      </x:c>
      <x:c r="F8" s="26" t="str">
        <x:v>Экипировка меняет КД; требования Силы, помеха Скрытности и владение видимы и применяются.</x:v>
      </x:c>
      <x:c r="G8" s="29" t="str">
        <x:v>CARD-0254</x:v>
      </x:c>
      <x:c r="H8" s="29" t="str">
        <x:v>Matched</x:v>
      </x:c>
      <x:c r="I8" s="29" t="n">
        <x:v>2</x:v>
      </x:c>
      <x:c r="J8" s="26" t="str">
        <x:v>Pass</x:v>
      </x:c>
      <x:c r="K8" s="26" t="str">
        <x:v>Pass</x:v>
      </x:c>
      <x:c r="L8" s="26" t="str">
        <x:v>Pass</x:v>
      </x:c>
      <x:c r="M8" s="26" t="str">
        <x:v>65273dd7-771c-40d6-aa1c-61cf6a041a91; 2e4d02a6-fcbe-4a67-95f8-4b2b81b75791</x:v>
      </x:c>
      <x:c r="N8" s="26" t="str">
        <x:v>Pass</x:v>
      </x:c>
      <x:c r="O8" s="26" t="str">
        <x:v>Production equip pass: all body armor AC values matched the 2024 formulas (including Defense +1), Shield added +2. Untrained Chain Mail showed speed 20, disabled spells, and 2d20 Strength/Dexterity d20 tests. Production id: 6622dde1-f47d-407b-9250-9ce1a8754e55</x:v>
      </x:c>
      <x:c r="P8" s="26" t="str">
        <x:v>https://www.dndbeyond.com/sources/dnd/br-2024/equipment</x:v>
      </x:c>
    </x:row>
    <x:row r="9" ht="54" customHeight="1">
      <x:c r="A9" s="28" t="n">
        <x:v>5</x:v>
      </x:c>
      <x:c r="B9" s="26" t="str">
        <x:v>Средний</x:v>
      </x:c>
      <x:c r="C9" s="26" t="str">
        <x:v>Кольчужная рубаха</x:v>
      </x:c>
      <x:c r="D9" s="26" t="str">
        <x:v>Chain Shirt</x:v>
      </x:c>
      <x:c r="E9" s="26" t="str">
        <x:v>13 + ЛОВ (макс. 2)</x:v>
      </x:c>
      <x:c r="F9" s="26" t="str">
        <x:v>Экипировка меняет КД; требования Силы, помеха Скрытности и владение видимы и применяются.</x:v>
      </x:c>
      <x:c r="G9" s="29" t="str">
        <x:v>CARD-0278</x:v>
      </x:c>
      <x:c r="H9" s="29" t="str">
        <x:v>Matched</x:v>
      </x:c>
      <x:c r="I9" s="29" t="n">
        <x:v>3</x:v>
      </x:c>
      <x:c r="J9" s="26" t="str">
        <x:v>Pass</x:v>
      </x:c>
      <x:c r="K9" s="26" t="str">
        <x:v>Pass</x:v>
      </x:c>
      <x:c r="L9" s="26" t="str">
        <x:v>Pass</x:v>
      </x:c>
      <x:c r="M9" s="26" t="str">
        <x:v>65273dd7-771c-40d6-aa1c-61cf6a041a91; 2e4d02a6-fcbe-4a67-95f8-4b2b81b75791</x:v>
      </x:c>
      <x:c r="N9" s="26" t="str">
        <x:v>Pass</x:v>
      </x:c>
      <x:c r="O9" s="26" t="str">
        <x:v>Production equip pass: all body armor AC values matched the 2024 formulas (including Defense +1), Shield added +2. Untrained Chain Mail showed speed 20, disabled spells, and 2d20 Strength/Dexterity d20 tests. Production id: 155f2780-87d3-462a-bfb1-fa885ac1d58a</x:v>
      </x:c>
      <x:c r="P9" s="26" t="str">
        <x:v>https://www.dndbeyond.com/sources/dnd/br-2024/equipment</x:v>
      </x:c>
    </x:row>
    <x:row r="10" ht="54" customHeight="1">
      <x:c r="A10" s="28" t="n">
        <x:v>6</x:v>
      </x:c>
      <x:c r="B10" s="26" t="str">
        <x:v>Средний</x:v>
      </x:c>
      <x:c r="C10" s="26" t="str">
        <x:v>Чешуйчатый доспех</x:v>
      </x:c>
      <x:c r="D10" s="26" t="str">
        <x:v>Scale Mail</x:v>
      </x:c>
      <x:c r="E10" s="26" t="str">
        <x:v>14 + ЛОВ (макс. 2); помеха Скрытности</x:v>
      </x:c>
      <x:c r="F10" s="26" t="str">
        <x:v>Экипировка меняет КД; требования Силы, помеха Скрытности и владение видимы и применяются.</x:v>
      </x:c>
      <x:c r="G10" s="29" t="str">
        <x:v>CARD-0269</x:v>
      </x:c>
      <x:c r="H10" s="29" t="str">
        <x:v>Matched</x:v>
      </x:c>
      <x:c r="I10" s="29" t="n">
        <x:v>1</x:v>
      </x:c>
      <x:c r="J10" s="26" t="str">
        <x:v>Pass</x:v>
      </x:c>
      <x:c r="K10" s="26" t="str">
        <x:v>Pass</x:v>
      </x:c>
      <x:c r="L10" s="26" t="str">
        <x:v>Pass</x:v>
      </x:c>
      <x:c r="M10" s="26" t="str">
        <x:v>65273dd7-771c-40d6-aa1c-61cf6a041a91; 2e4d02a6-fcbe-4a67-95f8-4b2b81b75791</x:v>
      </x:c>
      <x:c r="N10" s="26" t="str">
        <x:v>Pass</x:v>
      </x:c>
      <x:c r="O10" s="26" t="str">
        <x:v>Production equip pass: all body armor AC values matched the 2024 formulas (including Defense +1), Shield added +2. Untrained Chain Mail showed speed 20, disabled spells, and 2d20 Strength/Dexterity d20 tests. Production id: 428d7309-3cee-4b11-8ce5-08b5c0c73660</x:v>
      </x:c>
      <x:c r="P10" s="26" t="str">
        <x:v>https://www.dndbeyond.com/sources/dnd/br-2024/equipment</x:v>
      </x:c>
    </x:row>
    <x:row r="11" ht="54" customHeight="1">
      <x:c r="A11" s="28" t="n">
        <x:v>7</x:v>
      </x:c>
      <x:c r="B11" s="26" t="str">
        <x:v>Средний</x:v>
      </x:c>
      <x:c r="C11" s="26" t="str">
        <x:v>Кираса</x:v>
      </x:c>
      <x:c r="D11" s="26" t="str">
        <x:v>Breastplate</x:v>
      </x:c>
      <x:c r="E11" s="26" t="str">
        <x:v>14 + ЛОВ (макс. 2)</x:v>
      </x:c>
      <x:c r="F11" s="26" t="str">
        <x:v>Экипировка меняет КД; требования Силы, помеха Скрытности и владение видимы и применяются.</x:v>
      </x:c>
      <x:c r="G11" s="29" t="str">
        <x:v>CARD-0271</x:v>
      </x:c>
      <x:c r="H11" s="29" t="str">
        <x:v>Matched</x:v>
      </x:c>
      <x:c r="I11" s="29" t="n">
        <x:v>2</x:v>
      </x:c>
      <x:c r="J11" s="26" t="str">
        <x:v>Pass</x:v>
      </x:c>
      <x:c r="K11" s="26" t="str">
        <x:v>Pass</x:v>
      </x:c>
      <x:c r="L11" s="26" t="str">
        <x:v>Pass</x:v>
      </x:c>
      <x:c r="M11" s="26" t="str">
        <x:v>65273dd7-771c-40d6-aa1c-61cf6a041a91; 2e4d02a6-fcbe-4a67-95f8-4b2b81b75791</x:v>
      </x:c>
      <x:c r="N11" s="26" t="str">
        <x:v>Pass</x:v>
      </x:c>
      <x:c r="O11" s="26" t="str">
        <x:v>Production equip pass: all body armor AC values matched the 2024 formulas (including Defense +1), Shield added +2. Untrained Chain Mail showed speed 20, disabled spells, and 2d20 Strength/Dexterity d20 tests. Production id: 2b961c9e-4e5a-4dce-adcb-06ec969c136b</x:v>
      </x:c>
      <x:c r="P11" s="26" t="str">
        <x:v>https://www.dndbeyond.com/sources/dnd/br-2024/equipment</x:v>
      </x:c>
    </x:row>
    <x:row r="12" ht="54" customHeight="1">
      <x:c r="A12" s="28" t="n">
        <x:v>8</x:v>
      </x:c>
      <x:c r="B12" s="26" t="str">
        <x:v>Средний</x:v>
      </x:c>
      <x:c r="C12" s="26" t="str">
        <x:v>Полулаты</x:v>
      </x:c>
      <x:c r="D12" s="26" t="str">
        <x:v>Half Plate Armor</x:v>
      </x:c>
      <x:c r="E12" s="26" t="str">
        <x:v>15 + ЛОВ (макс. 2); помеха Скрытности</x:v>
      </x:c>
      <x:c r="F12" s="26" t="str">
        <x:v>Экипировка меняет КД; требования Силы, помеха Скрытности и владение видимы и применяются.</x:v>
      </x:c>
      <x:c r="G12" s="29" t="str">
        <x:v>CARD-0286</x:v>
      </x:c>
      <x:c r="H12" s="29" t="str">
        <x:v>Matched</x:v>
      </x:c>
      <x:c r="I12" s="29" t="n">
        <x:v>2</x:v>
      </x:c>
      <x:c r="J12" s="26" t="str">
        <x:v>Pass</x:v>
      </x:c>
      <x:c r="K12" s="26" t="str">
        <x:v>Pass</x:v>
      </x:c>
      <x:c r="L12" s="26" t="str">
        <x:v>Pass</x:v>
      </x:c>
      <x:c r="M12" s="26" t="str">
        <x:v>65273dd7-771c-40d6-aa1c-61cf6a041a91; 2e4d02a6-fcbe-4a67-95f8-4b2b81b75791</x:v>
      </x:c>
      <x:c r="N12" s="26" t="str">
        <x:v>Pass</x:v>
      </x:c>
      <x:c r="O12" s="26" t="str">
        <x:v>Production equip pass: all body armor AC values matched the 2024 formulas (including Defense +1), Shield added +2. Untrained Chain Mail showed speed 20, disabled spells, and 2d20 Strength/Dexterity d20 tests. Production id: 5dba6617-9d4d-429c-bfba-e50739012024</x:v>
      </x:c>
      <x:c r="P12" s="26" t="str">
        <x:v>https://www.dndbeyond.com/sources/dnd/br-2024/equipment</x:v>
      </x:c>
    </x:row>
    <x:row r="13" ht="54" customHeight="1">
      <x:c r="A13" s="28" t="n">
        <x:v>9</x:v>
      </x:c>
      <x:c r="B13" s="26" t="str">
        <x:v>Тяжёлый</x:v>
      </x:c>
      <x:c r="C13" s="26" t="str">
        <x:v>Колечный доспех</x:v>
      </x:c>
      <x:c r="D13" s="26" t="str">
        <x:v>Ring Mail</x:v>
      </x:c>
      <x:c r="E13" s="26" t="str">
        <x:v>14; помеха Скрытности</x:v>
      </x:c>
      <x:c r="F13" s="26" t="str">
        <x:v>Экипировка меняет КД; требования Силы, помеха Скрытности и владение видимы и применяются.</x:v>
      </x:c>
      <x:c r="G13" s="29" t="str">
        <x:v>CARD-0287</x:v>
      </x:c>
      <x:c r="H13" s="29" t="str">
        <x:v>Matched</x:v>
      </x:c>
      <x:c r="I13" s="29" t="n">
        <x:v>1</x:v>
      </x:c>
      <x:c r="J13" s="26" t="str">
        <x:v>Pass</x:v>
      </x:c>
      <x:c r="K13" s="26" t="str">
        <x:v>Pass</x:v>
      </x:c>
      <x:c r="L13" s="26" t="str">
        <x:v>Pass</x:v>
      </x:c>
      <x:c r="M13" s="26" t="str">
        <x:v>65273dd7-771c-40d6-aa1c-61cf6a041a91; 2e4d02a6-fcbe-4a67-95f8-4b2b81b75791</x:v>
      </x:c>
      <x:c r="N13" s="26" t="str">
        <x:v>Pass</x:v>
      </x:c>
      <x:c r="O13" s="26" t="str">
        <x:v>Production equip pass: all body armor AC values matched the 2024 formulas (including Defense +1), Shield added +2. Untrained Chain Mail showed speed 20, disabled spells, and 2d20 Strength/Dexterity d20 tests. Production id: 67c6d802-1108-4b0b-a79b-c8454a02eb6a</x:v>
      </x:c>
      <x:c r="P13" s="26" t="str">
        <x:v>https://www.dndbeyond.com/sources/dnd/br-2024/equipment</x:v>
      </x:c>
    </x:row>
    <x:row r="14" ht="54" customHeight="1">
      <x:c r="A14" s="28" t="n">
        <x:v>10</x:v>
      </x:c>
      <x:c r="B14" s="26" t="str">
        <x:v>Тяжёлый</x:v>
      </x:c>
      <x:c r="C14" s="26" t="str">
        <x:v>Кольчуга</x:v>
      </x:c>
      <x:c r="D14" s="26" t="str">
        <x:v>Chain Mail</x:v>
      </x:c>
      <x:c r="E14" s="26" t="str">
        <x:v>16; СИЛ 13; помеха Скрытности</x:v>
      </x:c>
      <x:c r="F14" s="26" t="str">
        <x:v>Экипировка меняет КД; требования Силы, помеха Скрытности и владение видимы и применяются.</x:v>
      </x:c>
      <x:c r="G14" s="29" t="str">
        <x:v>CARD-0283</x:v>
      </x:c>
      <x:c r="H14" s="29" t="str">
        <x:v>Matched</x:v>
      </x:c>
      <x:c r="I14" s="29" t="n">
        <x:v>1</x:v>
      </x:c>
      <x:c r="J14" s="26" t="str">
        <x:v>Pass</x:v>
      </x:c>
      <x:c r="K14" s="26" t="str">
        <x:v>Pass</x:v>
      </x:c>
      <x:c r="L14" s="26" t="str">
        <x:v>Pass</x:v>
      </x:c>
      <x:c r="M14" s="26" t="str">
        <x:v>65273dd7-771c-40d6-aa1c-61cf6a041a91; 2e4d02a6-fcbe-4a67-95f8-4b2b81b75791</x:v>
      </x:c>
      <x:c r="N14" s="26" t="str">
        <x:v>Pass</x:v>
      </x:c>
      <x:c r="O14" s="26" t="str">
        <x:v>Production equip pass: all body armor AC values matched the 2024 formulas (including Defense +1), Shield added +2. Untrained Chain Mail showed speed 20, disabled spells, and 2d20 Strength/Dexterity d20 tests. Production id: 3d4a5854-ac9f-4fc4-b545-8d5c32a08e58</x:v>
      </x:c>
      <x:c r="P14" s="26" t="str">
        <x:v>https://www.dndbeyond.com/sources/dnd/br-2024/equipment</x:v>
      </x:c>
    </x:row>
    <x:row r="15" ht="54" customHeight="1">
      <x:c r="A15" s="28" t="n">
        <x:v>11</x:v>
      </x:c>
      <x:c r="B15" s="26" t="str">
        <x:v>Тяжёлый</x:v>
      </x:c>
      <x:c r="C15" s="26" t="str">
        <x:v>Наборный доспех</x:v>
      </x:c>
      <x:c r="D15" s="26" t="str">
        <x:v>Splint Armor</x:v>
      </x:c>
      <x:c r="E15" s="26" t="str">
        <x:v>17; СИЛ 15; помеха Скрытности</x:v>
      </x:c>
      <x:c r="F15" s="26" t="str">
        <x:v>Экипировка меняет КД; требования Силы, помеха Скрытности и владение видимы и применяются.</x:v>
      </x:c>
      <x:c r="G15" s="29" t="str">
        <x:v>CARD-0290</x:v>
      </x:c>
      <x:c r="H15" s="29" t="str">
        <x:v>Matched</x:v>
      </x:c>
      <x:c r="I15" s="29" t="n">
        <x:v>1</x:v>
      </x:c>
      <x:c r="J15" s="26" t="str">
        <x:v>Pass</x:v>
      </x:c>
      <x:c r="K15" s="26" t="str">
        <x:v>Pass</x:v>
      </x:c>
      <x:c r="L15" s="26" t="str">
        <x:v>Pass</x:v>
      </x:c>
      <x:c r="M15" s="26" t="str">
        <x:v>65273dd7-771c-40d6-aa1c-61cf6a041a91; 2e4d02a6-fcbe-4a67-95f8-4b2b81b75791</x:v>
      </x:c>
      <x:c r="N15" s="26" t="str">
        <x:v>Pass</x:v>
      </x:c>
      <x:c r="O15" s="26" t="str">
        <x:v>Production equip pass: all body armor AC values matched the 2024 formulas (including Defense +1), Shield added +2. Untrained Chain Mail showed speed 20, disabled spells, and 2d20 Strength/Dexterity d20 tests. Production id: 580edf64-a310-4bb6-ac6c-39c3d9751258</x:v>
      </x:c>
      <x:c r="P15" s="26" t="str">
        <x:v>https://www.dndbeyond.com/sources/dnd/br-2024/equipment</x:v>
      </x:c>
    </x:row>
    <x:row r="16" ht="54" customHeight="1">
      <x:c r="A16" s="28" t="n">
        <x:v>12</x:v>
      </x:c>
      <x:c r="B16" s="26" t="str">
        <x:v>Тяжёлый</x:v>
      </x:c>
      <x:c r="C16" s="26" t="str">
        <x:v>Латы</x:v>
      </x:c>
      <x:c r="D16" s="26" t="str">
        <x:v>Plate Armor</x:v>
      </x:c>
      <x:c r="E16" s="26" t="str">
        <x:v>18; СИЛ 15; помеха Скрытности</x:v>
      </x:c>
      <x:c r="F16" s="26" t="str">
        <x:v>Экипировка меняет КД; требования Силы, помеха Скрытности и владение видимы и применяются.</x:v>
      </x:c>
      <x:c r="G16" s="29" t="str">
        <x:v>CARD-0291</x:v>
      </x:c>
      <x:c r="H16" s="29" t="str">
        <x:v>Matched</x:v>
      </x:c>
      <x:c r="I16" s="29" t="n">
        <x:v>0</x:v>
      </x:c>
      <x:c r="J16" s="26" t="str">
        <x:v>Pass</x:v>
      </x:c>
      <x:c r="K16" s="26" t="str">
        <x:v>Pass</x:v>
      </x:c>
      <x:c r="L16" s="26" t="str">
        <x:v>Pass</x:v>
      </x:c>
      <x:c r="M16" s="26" t="str">
        <x:v>65273dd7-771c-40d6-aa1c-61cf6a041a91; 2e4d02a6-fcbe-4a67-95f8-4b2b81b75791</x:v>
      </x:c>
      <x:c r="N16" s="26" t="str">
        <x:v>Pass</x:v>
      </x:c>
      <x:c r="O16" s="26" t="str">
        <x:v>Production equip pass: all body armor AC values matched the 2024 formulas (including Defense +1), Shield added +2. Untrained Chain Mail showed speed 20, disabled spells, and 2d20 Strength/Dexterity d20 tests. Production id: 463e759f-4db8-40e3-99ac-78bfcef9a3dd</x:v>
      </x:c>
      <x:c r="P16" s="26" t="str">
        <x:v>https://www.dndbeyond.com/sources/dnd/br-2024/equipment</x:v>
      </x:c>
    </x:row>
    <x:row r="17" ht="54" customHeight="1">
      <x:c r="A17" s="28" t="n">
        <x:v>13</x:v>
      </x:c>
      <x:c r="B17" s="26" t="str">
        <x:v>Щит</x:v>
      </x:c>
      <x:c r="C17" s="26" t="str">
        <x:v>Щит</x:v>
      </x:c>
      <x:c r="D17" s="26" t="str">
        <x:v>Shield</x:v>
      </x:c>
      <x:c r="E17" s="26" t="str">
        <x:v>+2 КД; только при владении; действие надеть/снять</x:v>
      </x:c>
      <x:c r="F17" s="26" t="str">
        <x:v>Экипировка меняет КД; требования Силы, помеха Скрытности и владение видимы и применяются.</x:v>
      </x:c>
      <x:c r="G17" s="29" t="str">
        <x:v>CARD-0200</x:v>
      </x:c>
      <x:c r="H17" s="29" t="str">
        <x:v>Matched</x:v>
      </x:c>
      <x:c r="I17" s="29" t="n">
        <x:v>0</x:v>
      </x:c>
      <x:c r="J17" s="26" t="str">
        <x:v>Pass</x:v>
      </x:c>
      <x:c r="K17" s="26" t="str">
        <x:v>Pass</x:v>
      </x:c>
      <x:c r="L17" s="26" t="str">
        <x:v>Pass</x:v>
      </x:c>
      <x:c r="M17" s="26" t="str">
        <x:v>65273dd7-771c-40d6-aa1c-61cf6a041a91; 2e4d02a6-fcbe-4a67-95f8-4b2b81b75791</x:v>
      </x:c>
      <x:c r="N17" s="26" t="str">
        <x:v>Pass</x:v>
      </x:c>
      <x:c r="O17" s="26" t="str">
        <x:v>Production equip pass: all body armor AC values matched the 2024 formulas (including Defense +1), Shield added +2. Untrained Chain Mail showed speed 20, disabled spells, and 2d20 Strength/Dexterity d20 tests. Production id: b0a5fd06-4b35-480a-8a99-02aa2a60fd6b</x:v>
      </x:c>
      <x:c r="P17" s="26" t="str">
        <x:v>https://www.dndbeyond.com/sources/dnd/br-2024/equipment</x:v>
      </x:c>
    </x:row>
  </x:sheetData>
  <x:mergeCells>
    <x:mergeCell ref="A1:P2"/>
    <x:mergeCell ref="A3:P3"/>
  </x:mergeCells>
  <x:conditionalFormatting sqref="N5:N17">
    <x:cfRule type="containsText" dxfId="3" priority="1" operator="containsText" text="Pass"/>
    <x:cfRule type="containsText" dxfId="4" priority="2" operator="containsText" text="Fail"/>
  </x:conditionalFormatting>
  <x:conditionalFormatting sqref="H5:H17">
    <x:cfRule type="containsText" dxfId="5" priority="3" operator="containsText" text="Missing"/>
  </x:conditionalFormatting>
  <x:dataValidations count="4">
    <x:dataValidation type="list" sqref="J5:J17">
      <x:formula1>"Pending,Pass,Fail,Blocked,N/A"</x:formula1>
    </x:dataValidation>
    <x:dataValidation type="list" sqref="K5:K17">
      <x:formula1>"Pending,Pass,Fail,Blocked,N/A"</x:formula1>
    </x:dataValidation>
    <x:dataValidation type="list" sqref="L5:L17">
      <x:formula1>"Pending,Pass,Fail,Blocked,N/A"</x:formula1>
    </x:dataValidation>
    <x:dataValidation type="list" sqref="N5:N17">
      <x:formula1>"Pending,Pass,Fail,Blocked,N/A"</x:formula1>
    </x:dataValidation>
  </x:dataValidations>
  <x:pageMargins left="0.7" right="0.7" top="0.75" bottom="0.75" header="0.3" footer="0.3"/>
  <x:legacyDrawing xmlns:r="http://schemas.openxmlformats.org/officeDocument/2006/relationships" r:id="R720e9a5c4e984a5a"/>
  <x:tableParts count="1">
    <x:tablePart xmlns:r="http://schemas.openxmlformats.org/officeDocument/2006/relationships" r:id="R9f153cc5f8e145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8" hidden="0" customWidth="1"/>
    <x:col min="4" max="4" width="24" hidden="0" customWidth="1"/>
    <x:col min="5" max="5" width="46" hidden="0" customWidth="1"/>
    <x:col min="6" max="6" width="48" hidden="0" customWidth="1"/>
    <x:col min="7" max="7" width="18" hidden="0" customWidth="1"/>
    <x:col min="8" max="8" width="12" hidden="0" customWidth="1"/>
    <x:col min="9" max="9" width="11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12" hidden="0" customWidth="1"/>
    <x:col min="15" max="15" width="48" hidden="0" customWidth="1"/>
    <x:col min="16" max="16" width="26" hidden="0" customWidth="1"/>
  </x:cols>
  <x:sheetData>
    <x:row r="1" ht="30" customHeight="1">
      <x:c r="A1" s="18" t="str">
        <x:v>D&amp;D 2024 — Consumables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30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 ht="30" customHeight="1">
      <x:c r="A3" s="20" t="str">
        <x:v>Manual evidence belongs in test/result cells and threaded comments. Do not certify an item with a failed or blocked relevant dimension.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</x:row>
    <x:row r="4" ht="30" customHeight="1">
      <x:c r="A4" s="22" t="str">
        <x:v>#</x:v>
      </x:c>
      <x:c r="B4" s="22" t="str">
        <x:v>Category</x:v>
      </x:c>
      <x:c r="C4" s="22" t="str">
        <x:v>Name (RU)</x:v>
      </x:c>
      <x:c r="D4" s="22" t="str">
        <x:v>Name (EN)</x:v>
      </x:c>
      <x:c r="E4" s="22" t="str">
        <x:v>Official rule</x:v>
      </x:c>
      <x:c r="F4" s="22" t="str">
        <x:v>Expected mechanic</x:v>
      </x:c>
      <x:c r="G4" s="22" t="str">
        <x:v>Card number</x:v>
      </x:c>
      <x:c r="H4" s="22" t="str">
        <x:v>Catalog</x:v>
      </x:c>
      <x:c r="I4" s="22" t="str">
        <x:v>Duplicates</x:v>
      </x:c>
      <x:c r="J4" s="22" t="str">
        <x:v>Sheet test</x:v>
      </x:c>
      <x:c r="K4" s="22" t="str">
        <x:v>Combat test</x:v>
      </x:c>
      <x:c r="L4" s="22" t="str">
        <x:v>Clarity test</x:v>
      </x:c>
      <x:c r="M4" s="22" t="str">
        <x:v>Character ID(s)</x:v>
      </x:c>
      <x:c r="N4" s="22" t="str">
        <x:v>Status</x:v>
      </x:c>
      <x:c r="O4" s="22" t="str">
        <x:v>Findings / bug</x:v>
      </x:c>
      <x:c r="P4" s="22" t="str">
        <x:v>Source</x:v>
      </x:c>
    </x:row>
    <x:row r="5" ht="54" customHeight="1">
      <x:c r="A5" s="28" t="n">
        <x:v>1</x:v>
      </x:c>
      <x:c r="B5" s="26" t="str">
        <x:v>Бросаемое</x:v>
      </x:c>
      <x:c r="C5" s="26" t="str">
        <x:v>Кислота</x:v>
      </x:c>
      <x:c r="D5" s="26" t="str">
        <x:v>Acid</x:v>
      </x:c>
      <x:c r="E5" s="26" t="str">
        <x:v>замена атаки; 20 фт; спас ЛОВ 8+ЛОВ+БВ; 2к6 кислота</x:v>
      </x:c>
      <x:c r="F5" s="26" t="str">
        <x:v>Предмет даёт данными описанное действие/эффект; трата и результат видны.</x:v>
      </x:c>
      <x:c r="G5" s="29" t="str">
        <x:v>CARD-0791</x:v>
      </x:c>
      <x:c r="H5" s="29" t="str">
        <x:v>Matched</x:v>
      </x:c>
      <x:c r="I5" s="29" t="n">
        <x:v>0</x:v>
      </x:c>
      <x:c r="J5" s="26" t="str">
        <x:v>Pass</x:v>
      </x:c>
      <x:c r="K5" s="26" t="str">
        <x:v>Pass</x:v>
      </x:c>
      <x:c r="L5" s="26" t="str">
        <x:v>Pass</x:v>
      </x:c>
      <x:c r="M5" s="26" t="str">
        <x:v>ca97af18-701c-456b-89c7-0d0e5c8ac725; target 7382a1e6-f7a2-45ca-8370-38f119845791</x:v>
      </x:c>
      <x:c r="N5" s="26" t="str">
        <x:v>Pass</x:v>
      </x:c>
      <x:c r="O5" s="26" t="str">
        <x:v>Browser: target save, action and one item consumed (20→19); journal clearly reports the damage interaction. Production id: ea99ac20-edd0-46f7-9715-7fdb3e3c81da</x:v>
      </x:c>
      <x:c r="P5" s="26" t="str">
        <x:v>https://www.dndbeyond.com/sources/dnd/br-2024/equipment</x:v>
      </x:c>
    </x:row>
    <x:row r="6" ht="54" customHeight="1">
      <x:c r="A6" s="28" t="n">
        <x:v>2</x:v>
      </x:c>
      <x:c r="B6" s="26" t="str">
        <x:v>Бросаемое</x:v>
      </x:c>
      <x:c r="C6" s="26" t="str">
        <x:v>Алхимический огонь</x:v>
      </x:c>
      <x:c r="D6" s="26" t="str">
        <x:v>Alchemist's Fire</x:v>
      </x:c>
      <x:c r="E6" s="26" t="str">
        <x:v>замена атаки; 20 фт; спас ЛОВ; 1к4 огонь + Горение</x:v>
      </x:c>
      <x:c r="F6" s="26" t="str">
        <x:v>Предмет даёт данными описанное действие/эффект; трата и результат видны.</x:v>
      </x:c>
      <x:c r="G6" s="29" t="str">
        <x:v>CARD-0714</x:v>
      </x:c>
      <x:c r="H6" s="29" t="str">
        <x:v>Matched</x:v>
      </x:c>
      <x:c r="I6" s="29" t="n">
        <x:v>0</x:v>
      </x:c>
      <x:c r="J6" s="26" t="str">
        <x:v>Pass</x:v>
      </x:c>
      <x:c r="K6" s="26" t="str">
        <x:v>Pass</x:v>
      </x:c>
      <x:c r="L6" s="26" t="str">
        <x:v>Pass</x:v>
      </x:c>
      <x:c r="M6" s="26" t="str">
        <x:v>ca97af18-701c-456b-89c7-0d0e5c8ac725; target 7382a1e6-f7a2-45ca-8370-38f119845791</x:v>
      </x:c>
      <x:c r="N6" s="26" t="str">
        <x:v>Pass</x:v>
      </x:c>
      <x:c r="O6" s="26" t="str">
        <x:v>Browser: controlled failed save dealt 4 fire, consumed the item, and created a visible manual-duration burning effect on the target. Production id: 36e46fed-6ae8-451a-ac8c-f776ee5943d4</x:v>
      </x:c>
      <x:c r="P6" s="26" t="str">
        <x:v>https://www.dndbeyond.com/sources/dnd/br-2024/equipment</x:v>
      </x:c>
    </x:row>
    <x:row r="7" ht="54" customHeight="1">
      <x:c r="A7" s="28" t="n">
        <x:v>3</x:v>
      </x:c>
      <x:c r="B7" s="26" t="str">
        <x:v>Расходник</x:v>
      </x:c>
      <x:c r="C7" s="26" t="str">
        <x:v>Противоядие</x:v>
      </x:c>
      <x:c r="D7" s="26" t="str">
        <x:v>Antitoxin</x:v>
      </x:c>
      <x:c r="E7" s="26" t="str">
        <x:v>бонусное действие; преимущество спасов против Отравления 1 час</x:v>
      </x:c>
      <x:c r="F7" s="26" t="str">
        <x:v>Предмет даёт данными описанное действие/эффект; трата и результат видны.</x:v>
      </x:c>
      <x:c r="G7" s="29" t="str">
        <x:v>CARD-0811</x:v>
      </x:c>
      <x:c r="H7" s="29" t="str">
        <x:v>Matched</x:v>
      </x:c>
      <x:c r="I7" s="29" t="n">
        <x:v>0</x:v>
      </x:c>
      <x:c r="J7" s="26" t="str">
        <x:v>Pass</x:v>
      </x:c>
      <x:c r="K7" s="26" t="str">
        <x:v>Pass</x:v>
      </x:c>
      <x:c r="L7" s="26" t="str">
        <x:v>Pass</x:v>
      </x:c>
      <x:c r="M7" s="26" t="str">
        <x:v>ca97af18-701c-456b-89c7-0d0e5c8ac725; target 7382a1e6-f7a2-45ca-8370-38f119845791</x:v>
      </x:c>
      <x:c r="N7" s="26" t="str">
        <x:v>Pass</x:v>
      </x:c>
      <x:c r="O7" s="26" t="str">
        <x:v>Browser: bonus action and one item consumed; one-hour save-advantage effect is visible on the sheet. Production id: 619de701-8d7d-4a38-9091-75f79781f185</x:v>
      </x:c>
      <x:c r="P7" s="26" t="str">
        <x:v>https://www.dndbeyond.com/sources/dnd/br-2024/equipment</x:v>
      </x:c>
    </x:row>
    <x:row r="8" ht="54" customHeight="1">
      <x:c r="A8" s="28" t="n">
        <x:v>4</x:v>
      </x:c>
      <x:c r="B8" s="26" t="str">
        <x:v>Расходник</x:v>
      </x:c>
      <x:c r="C8" s="26" t="str">
        <x:v>Комплект целителя</x:v>
      </x:c>
      <x:c r="D8" s="26" t="str">
        <x:v>Healer's Kit</x:v>
      </x:c>
      <x:c r="E8" s="26" t="str">
        <x:v>10 исп.; действие; стабилизирует 0 HP без проверки</x:v>
      </x:c>
      <x:c r="F8" s="26" t="str">
        <x:v>Предмет даёт данными описанное действие/эффект; трата и результат видны.</x:v>
      </x:c>
      <x:c r="G8" s="29" t="str">
        <x:v>CARD-0491</x:v>
      </x:c>
      <x:c r="H8" s="29" t="str">
        <x:v>Matched</x:v>
      </x:c>
      <x:c r="I8" s="29" t="n">
        <x:v>0</x:v>
      </x:c>
      <x:c r="J8" s="26" t="str">
        <x:v>Pass</x:v>
      </x:c>
      <x:c r="K8" s="26" t="str">
        <x:v>Pass</x:v>
      </x:c>
      <x:c r="L8" s="26" t="str">
        <x:v>Pass</x:v>
      </x:c>
      <x:c r="M8" s="26" t="str">
        <x:v>ca97af18-701c-456b-89c7-0d0e5c8ac725; target 7382a1e6-f7a2-45ca-8370-38f119845791</x:v>
      </x:c>
      <x:c r="N8" s="26" t="str">
        <x:v>Pass</x:v>
      </x:c>
      <x:c r="O8" s="26" t="str">
        <x:v>Browser: selected ally at 0 HP; uses pool initialized at 10, charge spent (8→7 in final pass), target persisted stable=true and dead=false. Production id: 6112aaef-39b3-4b91-a0fa-96f56987ebb2</x:v>
      </x:c>
      <x:c r="P8" s="26" t="str">
        <x:v>https://www.dndbeyond.com/sources/dnd/br-2024/equipment</x:v>
      </x:c>
    </x:row>
    <x:row r="9" ht="54" customHeight="1">
      <x:c r="A9" s="28" t="n">
        <x:v>5</x:v>
      </x:c>
      <x:c r="B9" s="26" t="str">
        <x:v>Бросаемое</x:v>
      </x:c>
      <x:c r="C9" s="26" t="str">
        <x:v>Святая вода</x:v>
      </x:c>
      <x:c r="D9" s="26" t="str">
        <x:v>Holy Water</x:v>
      </x:c>
      <x:c r="E9" s="26" t="str">
        <x:v>замена атаки; 20 фт; спас ЛОВ; 2к8 излучение только Исчадию/Нежити</x:v>
      </x:c>
      <x:c r="F9" s="26" t="str">
        <x:v>Предмет даёт данными описанное действие/эффект; трата и результат видны.</x:v>
      </x:c>
      <x:c r="G9" s="29" t="str">
        <x:v>CARD-0815</x:v>
      </x:c>
      <x:c r="H9" s="29" t="str">
        <x:v>Matched</x:v>
      </x:c>
      <x:c r="I9" s="29" t="n">
        <x:v>0</x:v>
      </x:c>
      <x:c r="J9" s="26" t="str">
        <x:v>Pass</x:v>
      </x:c>
      <x:c r="K9" s="26" t="str">
        <x:v>Pass</x:v>
      </x:c>
      <x:c r="L9" s="26" t="str">
        <x:v>Pass</x:v>
      </x:c>
      <x:c r="M9" s="26" t="str">
        <x:v>ca97af18-701c-456b-89c7-0d0e5c8ac725; target 7382a1e6-f7a2-45ca-8370-38f119845791</x:v>
      </x:c>
      <x:c r="N9" s="26" t="str">
        <x:v>Pass</x:v>
      </x:c>
      <x:c r="O9" s="26" t="str">
        <x:v>Browser: normal character auto-succeeded without a die or damage; action/item spent and journal explains the fiend/undead restriction. Production id: b9c34c92-556d-42b0-a20a-c4098b61dcd3</x:v>
      </x:c>
      <x:c r="P9" s="26" t="str">
        <x:v>https://www.dndbeyond.com/sources/dnd/br-2024/equipment</x:v>
      </x:c>
    </x:row>
    <x:row r="10" ht="54" customHeight="1">
      <x:c r="A10" s="28" t="n">
        <x:v>6</x:v>
      </x:c>
      <x:c r="B10" s="26" t="str">
        <x:v>Расходник</x:v>
      </x:c>
      <x:c r="C10" s="26" t="str">
        <x:v>Масло</x:v>
      </x:c>
      <x:c r="D10" s="26" t="str">
        <x:v>Oil</x:v>
      </x:c>
      <x:c r="E10" s="26" t="str">
        <x:v>бросок/область/топливо; +5 огня или зона 5 фт</x:v>
      </x:c>
      <x:c r="F10" s="26" t="str">
        <x:v>Предмет даёт данными описанное действие/эффект; трата и результат видны.</x:v>
      </x:c>
      <x:c r="G10" s="29" t="str">
        <x:v>CARD-0723</x:v>
      </x:c>
      <x:c r="H10" s="29" t="str">
        <x:v>Matched</x:v>
      </x:c>
      <x:c r="I10" s="29" t="n">
        <x:v>0</x:v>
      </x:c>
      <x:c r="J10" s="26" t="str">
        <x:v>Pass</x:v>
      </x:c>
      <x:c r="K10" s="26" t="str">
        <x:v>Pass</x:v>
      </x:c>
      <x:c r="L10" s="26" t="str">
        <x:v>Pass</x:v>
      </x:c>
      <x:c r="M10" s="26" t="str">
        <x:v>ca97af18-701c-456b-89c7-0d0e5c8ac725; target 7382a1e6-f7a2-45ca-8370-38f119845791</x:v>
      </x:c>
      <x:c r="N10" s="26" t="str">
        <x:v>Pass</x:v>
      </x:c>
      <x:c r="O10" s="26" t="str">
        <x:v>Browser: action/item spent and a visible 5-foot oil-zone effect was created. Production id: 48de9253-7303-4b3e-a204-dccb175bb9c6</x:v>
      </x:c>
      <x:c r="P10" s="26" t="str">
        <x:v>https://www.dndbeyond.com/sources/dnd/br-2024/equipment</x:v>
      </x:c>
    </x:row>
    <x:row r="11" ht="54" customHeight="1">
      <x:c r="A11" s="28" t="n">
        <x:v>7</x:v>
      </x:c>
      <x:c r="B11" s="26" t="str">
        <x:v>Расходник</x:v>
      </x:c>
      <x:c r="C11" s="26" t="str">
        <x:v>Яд, простой</x:v>
      </x:c>
      <x:c r="D11" s="26" t="str">
        <x:v>Basic Poison</x:v>
      </x:c>
      <x:c r="E11" s="26" t="str">
        <x:v>бонусное действие; 1 оружие/3 боеприпаса; +1к4 яда; 1 минута или до урона</x:v>
      </x:c>
      <x:c r="F11" s="26" t="str">
        <x:v>Предмет даёт данными описанное действие/эффект; трата и результат видны.</x:v>
      </x:c>
      <x:c r="G11" s="29" t="str">
        <x:v>CARD-0832</x:v>
      </x:c>
      <x:c r="H11" s="29" t="str">
        <x:v>Matched</x:v>
      </x:c>
      <x:c r="I11" s="29" t="n">
        <x:v>0</x:v>
      </x:c>
      <x:c r="J11" s="26" t="str">
        <x:v>Pass</x:v>
      </x:c>
      <x:c r="K11" s="26" t="str">
        <x:v>Pass</x:v>
      </x:c>
      <x:c r="L11" s="26" t="str">
        <x:v>Pass</x:v>
      </x:c>
      <x:c r="M11" s="26" t="str">
        <x:v>ca97af18-701c-456b-89c7-0d0e5c8ac725; target 7382a1e6-f7a2-45ca-8370-38f119845791</x:v>
      </x:c>
      <x:c r="N11" s="26" t="str">
        <x:v>Pass</x:v>
      </x:c>
      <x:c r="O11" s="26" t="str">
        <x:v>Browser: bonus action/item spent; visible one-hit weapon damage rider created with a 10-turn limit. Production id: 6ac20375-82b7-4860-bcee-58f9005f162d</x:v>
      </x:c>
      <x:c r="P11" s="26" t="str">
        <x:v>https://www.dndbeyond.com/sources/dnd/br-2024/equipment</x:v>
      </x:c>
    </x:row>
    <x:row r="12" ht="54" customHeight="1">
      <x:c r="A12" s="28" t="n">
        <x:v>8</x:v>
      </x:c>
      <x:c r="B12" s="26" t="str">
        <x:v>Зелье</x:v>
      </x:c>
      <x:c r="C12" s="26" t="str">
        <x:v>Зелье лечения</x:v>
      </x:c>
      <x:c r="D12" s="26" t="str">
        <x:v>Potion of Healing</x:v>
      </x:c>
      <x:c r="E12" s="26" t="str">
        <x:v>бонусное действие; себе/соседу 5 фт; 2к4+2 HP</x:v>
      </x:c>
      <x:c r="F12" s="26" t="str">
        <x:v>Предмет даёт данными описанное действие/эффект; трата и результат видны.</x:v>
      </x:c>
      <x:c r="G12" s="29" t="str">
        <x:v>CARD-0839</x:v>
      </x:c>
      <x:c r="H12" s="29" t="str">
        <x:v>Matched</x:v>
      </x:c>
      <x:c r="I12" s="29" t="n">
        <x:v>1</x:v>
      </x:c>
      <x:c r="J12" s="26" t="str">
        <x:v>Pass</x:v>
      </x:c>
      <x:c r="K12" s="26" t="str">
        <x:v>Pass</x:v>
      </x:c>
      <x:c r="L12" s="26" t="str">
        <x:v>Pass</x:v>
      </x:c>
      <x:c r="M12" s="26" t="str">
        <x:v>ca97af18-701c-456b-89c7-0d0e5c8ac725; target 7382a1e6-f7a2-45ca-8370-38f119845791</x:v>
      </x:c>
      <x:c r="N12" s="26" t="str">
        <x:v>Pass</x:v>
      </x:c>
      <x:c r="O12" s="26" t="str">
        <x:v>Browser: damaged user healed 7→12, potion 12→11, item spent; journal reports 4 HP restored. Production id: 1a15acec-a0f1-4424-a92f-50afeab5a827</x:v>
      </x:c>
      <x:c r="P12" s="26" t="str">
        <x:v>https://www.dndbeyond.com/sources/dnd/br-2024/equipment</x:v>
      </x:c>
    </x:row>
  </x:sheetData>
  <x:mergeCells>
    <x:mergeCell ref="A1:P2"/>
    <x:mergeCell ref="A3:P3"/>
  </x:mergeCells>
  <x:conditionalFormatting sqref="N5:N12">
    <x:cfRule type="containsText" dxfId="6" priority="1" operator="containsText" text="Pass"/>
    <x:cfRule type="containsText" dxfId="7" priority="2" operator="containsText" text="Fail"/>
  </x:conditionalFormatting>
  <x:conditionalFormatting sqref="H5:H12">
    <x:cfRule type="containsText" dxfId="8" priority="3" operator="containsText" text="Missing"/>
  </x:conditionalFormatting>
  <x:dataValidations count="4">
    <x:dataValidation type="list" sqref="J5:J12">
      <x:formula1>"Pending,Pass,Fail,Blocked,N/A"</x:formula1>
    </x:dataValidation>
    <x:dataValidation type="list" sqref="K5:K12">
      <x:formula1>"Pending,Pass,Fail,Blocked,N/A"</x:formula1>
    </x:dataValidation>
    <x:dataValidation type="list" sqref="L5:L12">
      <x:formula1>"Pending,Pass,Fail,Blocked,N/A"</x:formula1>
    </x:dataValidation>
    <x:dataValidation type="list" sqref="N5:N12">
      <x:formula1>"Pending,Pass,Fail,Blocked,N/A"</x:formula1>
    </x:dataValidation>
  </x:dataValidations>
  <x:pageMargins left="0.7" right="0.7" top="0.75" bottom="0.75" header="0.3" footer="0.3"/>
  <x:legacyDrawing xmlns:r="http://schemas.openxmlformats.org/officeDocument/2006/relationships" r:id="Rf79d7952dc724b73"/>
  <x:tableParts count="1">
    <x:tablePart xmlns:r="http://schemas.openxmlformats.org/officeDocument/2006/relationships" r:id="R75a9d6dd16e945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8" hidden="0" customWidth="1"/>
    <x:col min="4" max="4" width="24" hidden="0" customWidth="1"/>
    <x:col min="5" max="5" width="46" hidden="0" customWidth="1"/>
    <x:col min="6" max="6" width="48" hidden="0" customWidth="1"/>
    <x:col min="7" max="7" width="18" hidden="0" customWidth="1"/>
    <x:col min="8" max="8" width="12" hidden="0" customWidth="1"/>
    <x:col min="9" max="9" width="11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12" hidden="0" customWidth="1"/>
    <x:col min="15" max="15" width="48" hidden="0" customWidth="1"/>
    <x:col min="16" max="16" width="26" hidden="0" customWidth="1"/>
  </x:cols>
  <x:sheetData>
    <x:row r="1" ht="30" customHeight="1">
      <x:c r="A1" s="18" t="str">
        <x:v>D&amp;D 2024 — Combat Gear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30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 ht="30" customHeight="1">
      <x:c r="A3" s="20" t="str">
        <x:v>Manual evidence belongs in test/result cells and threaded comments. Do not certify an item with a failed or blocked relevant dimension.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</x:row>
    <x:row r="4" ht="30" customHeight="1">
      <x:c r="A4" s="22" t="str">
        <x:v>#</x:v>
      </x:c>
      <x:c r="B4" s="22" t="str">
        <x:v>Category</x:v>
      </x:c>
      <x:c r="C4" s="22" t="str">
        <x:v>Name (RU)</x:v>
      </x:c>
      <x:c r="D4" s="22" t="str">
        <x:v>Name (EN)</x:v>
      </x:c>
      <x:c r="E4" s="22" t="str">
        <x:v>Official rule</x:v>
      </x:c>
      <x:c r="F4" s="22" t="str">
        <x:v>Expected mechanic</x:v>
      </x:c>
      <x:c r="G4" s="22" t="str">
        <x:v>Card number</x:v>
      </x:c>
      <x:c r="H4" s="22" t="str">
        <x:v>Catalog</x:v>
      </x:c>
      <x:c r="I4" s="22" t="str">
        <x:v>Duplicates</x:v>
      </x:c>
      <x:c r="J4" s="22" t="str">
        <x:v>Sheet test</x:v>
      </x:c>
      <x:c r="K4" s="22" t="str">
        <x:v>Combat test</x:v>
      </x:c>
      <x:c r="L4" s="22" t="str">
        <x:v>Clarity test</x:v>
      </x:c>
      <x:c r="M4" s="22" t="str">
        <x:v>Character ID(s)</x:v>
      </x:c>
      <x:c r="N4" s="22" t="str">
        <x:v>Status</x:v>
      </x:c>
      <x:c r="O4" s="22" t="str">
        <x:v>Findings / bug</x:v>
      </x:c>
      <x:c r="P4" s="22" t="str">
        <x:v>Source</x:v>
      </x:c>
    </x:row>
    <x:row r="5" ht="54" customHeight="1">
      <x:c r="A5" s="28" t="n">
        <x:v>1</x:v>
      </x:c>
      <x:c r="B5" s="26" t="str">
        <x:v>Боеприпасы</x:v>
      </x:c>
      <x:c r="C5" s="26" t="str">
        <x:v>Стрелы (20 шт.)</x:v>
      </x:c>
      <x:c r="D5" s="26" t="str">
        <x:v>Arrows</x:v>
      </x:c>
      <x:c r="E5" s="26" t="str">
        <x:v>20; луки; расход 1 на атаку</x:v>
      </x:c>
      <x:c r="F5" s="26" t="str">
        <x:v>Предмет даёт данными описанное действие/эффект; трата и результат видны.</x:v>
      </x:c>
      <x:c r="G5" s="29" t="str">
        <x:v>CARD-0728</x:v>
      </x:c>
      <x:c r="H5" s="29" t="str">
        <x:v>Matched</x:v>
      </x:c>
      <x:c r="I5" s="29" t="n">
        <x:v>0</x:v>
      </x:c>
      <x:c r="J5" s="26" t="str">
        <x:v>Pass</x:v>
      </x:c>
      <x:c r="K5" s="26" t="str">
        <x:v>Pass</x:v>
      </x:c>
      <x:c r="L5" s="26" t="str">
        <x:v>Pass</x:v>
      </x:c>
      <x:c r="M5" s="26" t="str">
        <x:v>e7255504-0aad-461e-9b3a-df4b6fa58ece</x:v>
      </x:c>
      <x:c r="N5" s="26" t="str">
        <x:v>Pass</x:v>
      </x:c>
      <x:c r="O5" s="26" t="str">
        <x:v>Exact ammunition card is linked by the weapon profile; sheet detail and quantity are visible, and the shared ranged-attack executor consumes the bound inventory card. Production id: 59b10a1e-8669-4bf6-88a5-69d0abfc76a6</x:v>
      </x:c>
      <x:c r="P5" s="26" t="str">
        <x:v>https://www.dndbeyond.com/sources/dnd/br-2024/equipment</x:v>
      </x:c>
    </x:row>
    <x:row r="6" ht="54" customHeight="1">
      <x:c r="A6" s="28" t="n">
        <x:v>2</x:v>
      </x:c>
      <x:c r="B6" s="26" t="str">
        <x:v>Боеприпасы</x:v>
      </x:c>
      <x:c r="C6" s="26" t="str">
        <x:v>Болты (20 шт.)</x:v>
      </x:c>
      <x:c r="D6" s="26" t="str">
        <x:v>Bolts</x:v>
      </x:c>
      <x:c r="E6" s="26" t="str">
        <x:v>20; арбалеты; расход 1 на атаку</x:v>
      </x:c>
      <x:c r="F6" s="26" t="str">
        <x:v>Предмет даёт данными описанное действие/эффект; трата и результат видны.</x:v>
      </x:c>
      <x:c r="G6" s="29" t="str">
        <x:v>CARD-0749</x:v>
      </x:c>
      <x:c r="H6" s="29" t="str">
        <x:v>Matched</x:v>
      </x:c>
      <x:c r="I6" s="29" t="n">
        <x:v>0</x:v>
      </x:c>
      <x:c r="J6" s="26" t="str">
        <x:v>Pass</x:v>
      </x:c>
      <x:c r="K6" s="26" t="str">
        <x:v>Pass</x:v>
      </x:c>
      <x:c r="L6" s="26" t="str">
        <x:v>Pass</x:v>
      </x:c>
      <x:c r="M6" s="26" t="str">
        <x:v>e7255504-0aad-461e-9b3a-df4b6fa58ece</x:v>
      </x:c>
      <x:c r="N6" s="26" t="str">
        <x:v>Pass</x:v>
      </x:c>
      <x:c r="O6" s="26" t="str">
        <x:v>Exact ammunition card is linked by the weapon profile; sheet detail and quantity are visible, and the shared ranged-attack executor consumes the bound inventory card. Production id: d70ecda9-36dc-4175-8a05-ccb91d4ce92f</x:v>
      </x:c>
      <x:c r="P6" s="26" t="str">
        <x:v>https://www.dndbeyond.com/sources/dnd/br-2024/equipment</x:v>
      </x:c>
    </x:row>
    <x:row r="7" ht="54" customHeight="1">
      <x:c r="A7" s="28" t="n">
        <x:v>3</x:v>
      </x:c>
      <x:c r="B7" s="26" t="str">
        <x:v>Боеприпасы</x:v>
      </x:c>
      <x:c r="C7" s="26" t="str">
        <x:v>Пули (10 шт.)</x:v>
      </x:c>
      <x:c r="D7" s="26" t="str">
        <x:v>Firearm Bullets</x:v>
      </x:c>
      <x:c r="E7" s="26" t="str">
        <x:v>10; мушкет/пистоль; расход 1 на атаку</x:v>
      </x:c>
      <x:c r="F7" s="26" t="str">
        <x:v>Предмет даёт данными описанное действие/эффект; трата и результат видны.</x:v>
      </x:c>
      <x:c r="G7" s="29" t="str">
        <x:v>CARD-0785</x:v>
      </x:c>
      <x:c r="H7" s="29" t="str">
        <x:v>Matched</x:v>
      </x:c>
      <x:c r="I7" s="29" t="n">
        <x:v>0</x:v>
      </x:c>
      <x:c r="J7" s="26" t="str">
        <x:v>Pass</x:v>
      </x:c>
      <x:c r="K7" s="26" t="str">
        <x:v>Pass</x:v>
      </x:c>
      <x:c r="L7" s="26" t="str">
        <x:v>Pass</x:v>
      </x:c>
      <x:c r="M7" s="26" t="str">
        <x:v>e7255504-0aad-461e-9b3a-df4b6fa58ece</x:v>
      </x:c>
      <x:c r="N7" s="26" t="str">
        <x:v>Pass</x:v>
      </x:c>
      <x:c r="O7" s="26" t="str">
        <x:v>Exact ammunition card is linked by the weapon profile; sheet detail and quantity are visible, and the shared ranged-attack executor consumes the bound inventory card. Production id: 3edeca6b-91fc-4678-9de5-61ce1a226253</x:v>
      </x:c>
      <x:c r="P7" s="26" t="str">
        <x:v>https://www.dndbeyond.com/sources/dnd/br-2024/equipment</x:v>
      </x:c>
    </x:row>
    <x:row r="8" ht="54" customHeight="1">
      <x:c r="A8" s="28" t="n">
        <x:v>4</x:v>
      </x:c>
      <x:c r="B8" s="26" t="str">
        <x:v>Боеприпасы</x:v>
      </x:c>
      <x:c r="C8" s="26" t="str">
        <x:v>Снаряды для пращи (20 шт.)</x:v>
      </x:c>
      <x:c r="D8" s="26" t="str">
        <x:v>Sling Bullets</x:v>
      </x:c>
      <x:c r="E8" s="26" t="str">
        <x:v>20; праща; расход 1 на атаку</x:v>
      </x:c>
      <x:c r="F8" s="26" t="str">
        <x:v>Предмет даёт данными описанное действие/эффект; трата и результат видны.</x:v>
      </x:c>
      <x:c r="G8" s="29" t="str">
        <x:v>CARD-0786</x:v>
      </x:c>
      <x:c r="H8" s="29" t="str">
        <x:v>Matched</x:v>
      </x:c>
      <x:c r="I8" s="29" t="n">
        <x:v>0</x:v>
      </x:c>
      <x:c r="J8" s="26" t="str">
        <x:v>Pass</x:v>
      </x:c>
      <x:c r="K8" s="26" t="str">
        <x:v>Pass</x:v>
      </x:c>
      <x:c r="L8" s="26" t="str">
        <x:v>Pass</x:v>
      </x:c>
      <x:c r="M8" s="26" t="str">
        <x:v>e7255504-0aad-461e-9b3a-df4b6fa58ece</x:v>
      </x:c>
      <x:c r="N8" s="26" t="str">
        <x:v>Pass</x:v>
      </x:c>
      <x:c r="O8" s="26" t="str">
        <x:v>Exact ammunition card is linked by the weapon profile; sheet detail and quantity are visible, and the shared ranged-attack executor consumes the bound inventory card. Production id: e9b62496-d092-48ee-a3ec-b5cd0b81cfd4</x:v>
      </x:c>
      <x:c r="P8" s="26" t="str">
        <x:v>https://www.dndbeyond.com/sources/dnd/br-2024/equipment</x:v>
      </x:c>
    </x:row>
    <x:row r="9" ht="54" customHeight="1">
      <x:c r="A9" s="28" t="n">
        <x:v>5</x:v>
      </x:c>
      <x:c r="B9" s="26" t="str">
        <x:v>Боеприпасы</x:v>
      </x:c>
      <x:c r="C9" s="26" t="str">
        <x:v>Иглы для трубки (50 шт.)</x:v>
      </x:c>
      <x:c r="D9" s="26" t="str">
        <x:v>Needles</x:v>
      </x:c>
      <x:c r="E9" s="26" t="str">
        <x:v>50; духовая трубка; расход 1 на атаку</x:v>
      </x:c>
      <x:c r="F9" s="26" t="str">
        <x:v>Предмет даёт данными описанное действие/эффект; трата и результат видны.</x:v>
      </x:c>
      <x:c r="G9" s="29" t="str">
        <x:v>CARD-0787</x:v>
      </x:c>
      <x:c r="H9" s="29" t="str">
        <x:v>Matched</x:v>
      </x:c>
      <x:c r="I9" s="29" t="n">
        <x:v>0</x:v>
      </x:c>
      <x:c r="J9" s="26" t="str">
        <x:v>Pass</x:v>
      </x:c>
      <x:c r="K9" s="26" t="str">
        <x:v>Pass</x:v>
      </x:c>
      <x:c r="L9" s="26" t="str">
        <x:v>Pass</x:v>
      </x:c>
      <x:c r="M9" s="26" t="str">
        <x:v>e7255504-0aad-461e-9b3a-df4b6fa58ece</x:v>
      </x:c>
      <x:c r="N9" s="26" t="str">
        <x:v>Pass</x:v>
      </x:c>
      <x:c r="O9" s="26" t="str">
        <x:v>Exact ammunition card is linked by the weapon profile; sheet detail and quantity are visible, and the shared ranged-attack executor consumes the bound inventory card. Production id: 9697d36b-c17c-4d2b-85c5-c23d762f8abd</x:v>
      </x:c>
      <x:c r="P9" s="26" t="str">
        <x:v>https://www.dndbeyond.com/sources/dnd/br-2024/equipment</x:v>
      </x:c>
    </x:row>
    <x:row r="10" ht="54" customHeight="1">
      <x:c r="A10" s="28" t="n">
        <x:v>6</x:v>
      </x:c>
      <x:c r="B10" s="26" t="str">
        <x:v>Зона</x:v>
      </x:c>
      <x:c r="C10" s="26" t="str">
        <x:v>Металлические шарики</x:v>
      </x:c>
      <x:c r="D10" s="26" t="str">
        <x:v>Ball Bearings</x:v>
      </x:c>
      <x:c r="E10" s="26" t="str">
        <x:v>Utilize; 10×10 фт; Сл 10 ЛОВ; Сбит с ног</x:v>
      </x:c>
      <x:c r="F10" s="26" t="str">
        <x:v>Предмет даёт данными описанное действие/эффект; трата и результат видны.</x:v>
      </x:c>
      <x:c r="G10" s="29" t="str">
        <x:v>CARD-0799</x:v>
      </x:c>
      <x:c r="H10" s="29" t="str">
        <x:v>Matched</x:v>
      </x:c>
      <x:c r="I10" s="29" t="n">
        <x:v>0</x:v>
      </x:c>
      <x:c r="J10" s="26" t="str">
        <x:v>Pass</x:v>
      </x:c>
      <x:c r="K10" s="26" t="str">
        <x:v>Pass</x:v>
      </x:c>
      <x:c r="L10" s="26" t="str">
        <x:v>Pass</x:v>
      </x:c>
      <x:c r="M10" s="26" t="str">
        <x:v>e7255504-0aad-461e-9b3a-df4b6fa58ece</x:v>
      </x:c>
      <x:c r="N10" s="26" t="str">
        <x:v>Pass</x:v>
      </x:c>
      <x:c r="O10" s="26" t="str">
        <x:v>Browser production pass completed without runtime errors. The result is represented by a visible zone/effect or an immediate journal entry according to the item rule. Production id: ce496a7b-b8f6-4c63-a06c-4e99b11d9fed</x:v>
      </x:c>
      <x:c r="P10" s="26" t="str">
        <x:v>https://www.dndbeyond.com/sources/dnd/br-2024/equipment</x:v>
      </x:c>
    </x:row>
    <x:row r="11" ht="54" customHeight="1">
      <x:c r="A11" s="28" t="n">
        <x:v>7</x:v>
      </x:c>
      <x:c r="B11" s="26" t="str">
        <x:v>Зона</x:v>
      </x:c>
      <x:c r="C11" s="26" t="str">
        <x:v>Калтропы</x:v>
      </x:c>
      <x:c r="D11" s="26" t="str">
        <x:v>Caltrops</x:v>
      </x:c>
      <x:c r="E11" s="26" t="str">
        <x:v>Utilize; 5×5 фт; Сл 15 ЛОВ; 1 колющий; скорость 0</x:v>
      </x:c>
      <x:c r="F11" s="26" t="str">
        <x:v>Предмет даёт данными описанное действие/эффект; трата и результат видны.</x:v>
      </x:c>
      <x:c r="G11" s="29" t="str">
        <x:v>CARD-0790</x:v>
      </x:c>
      <x:c r="H11" s="29" t="str">
        <x:v>Matched</x:v>
      </x:c>
      <x:c r="I11" s="29" t="n">
        <x:v>0</x:v>
      </x:c>
      <x:c r="J11" s="26" t="str">
        <x:v>Pass</x:v>
      </x:c>
      <x:c r="K11" s="26" t="str">
        <x:v>Pass</x:v>
      </x:c>
      <x:c r="L11" s="26" t="str">
        <x:v>Pass</x:v>
      </x:c>
      <x:c r="M11" s="26" t="str">
        <x:v>e7255504-0aad-461e-9b3a-df4b6fa58ece</x:v>
      </x:c>
      <x:c r="N11" s="26" t="str">
        <x:v>Pass</x:v>
      </x:c>
      <x:c r="O11" s="26" t="str">
        <x:v>Browser production pass completed without runtime errors. The result is represented by a visible zone/effect or an immediate journal entry according to the item rule. Production id: e58dc828-755d-4489-848d-bec20f08bd67</x:v>
      </x:c>
      <x:c r="P11" s="26" t="str">
        <x:v>https://www.dndbeyond.com/sources/dnd/br-2024/equipment</x:v>
      </x:c>
    </x:row>
    <x:row r="12" ht="54" customHeight="1">
      <x:c r="A12" s="28" t="n">
        <x:v>8</x:v>
      </x:c>
      <x:c r="B12" s="26" t="str">
        <x:v>Ограничение</x:v>
      </x:c>
      <x:c r="C12" s="26" t="str">
        <x:v>Цепь</x:v>
      </x:c>
      <x:c r="D12" s="26" t="str">
        <x:v>Chain</x:v>
      </x:c>
      <x:c r="E12" s="26" t="str">
        <x:v>Utilize; связать схваченную/недееспособную/опутанную цель; Сл 13/побег 18</x:v>
      </x:c>
      <x:c r="F12" s="26" t="str">
        <x:v>Предмет даёт данными описанное действие/эффект; трата и результат видны.</x:v>
      </x:c>
      <x:c r="G12" s="29" t="str">
        <x:v>CARD-0829</x:v>
      </x:c>
      <x:c r="H12" s="29" t="str">
        <x:v>Matched</x:v>
      </x:c>
      <x:c r="I12" s="29" t="n">
        <x:v>0</x:v>
      </x:c>
      <x:c r="J12" s="26" t="str">
        <x:v>Pass</x:v>
      </x:c>
      <x:c r="K12" s="26" t="str">
        <x:v>Pass</x:v>
      </x:c>
      <x:c r="L12" s="26" t="str">
        <x:v>Pass</x:v>
      </x:c>
      <x:c r="M12" s="26" t="str">
        <x:v>e7255504-0aad-461e-9b3a-df4b6fa58ece</x:v>
      </x:c>
      <x:c r="N12" s="26" t="str">
        <x:v>Pass</x:v>
      </x:c>
      <x:c r="O12" s="26" t="str">
        <x:v>Browser production pass completed without runtime errors. The result is represented by a visible zone/effect or an immediate journal entry according to the item rule. Production id: 3e3dadcb-0324-4065-a52f-7e174147b1f9</x:v>
      </x:c>
      <x:c r="P12" s="26" t="str">
        <x:v>https://www.dndbeyond.com/sources/dnd/br-2024/equipment</x:v>
      </x:c>
    </x:row>
    <x:row r="13" ht="54" customHeight="1">
      <x:c r="A13" s="28" t="n">
        <x:v>9</x:v>
      </x:c>
      <x:c r="B13" s="26" t="str">
        <x:v>Движение</x:v>
      </x:c>
      <x:c r="C13" s="26" t="str">
        <x:v>Комплект для лазания</x:v>
      </x:c>
      <x:c r="D13" s="26" t="str">
        <x:v>Climber's Kit</x:v>
      </x:c>
      <x:c r="E13" s="26" t="str">
        <x:v>Utilize; закрепиться; ограничить падение 25 фт</x:v>
      </x:c>
      <x:c r="F13" s="26" t="str">
        <x:v>Предмет даёт данными описанное действие/эффект; трата и результат видны.</x:v>
      </x:c>
      <x:c r="G13" s="29" t="str">
        <x:v>CARD-0793</x:v>
      </x:c>
      <x:c r="H13" s="29" t="str">
        <x:v>Matched</x:v>
      </x:c>
      <x:c r="I13" s="29" t="n">
        <x:v>0</x:v>
      </x:c>
      <x:c r="J13" s="26" t="str">
        <x:v>Pass</x:v>
      </x:c>
      <x:c r="K13" s="26" t="str">
        <x:v>Pass</x:v>
      </x:c>
      <x:c r="L13" s="26" t="str">
        <x:v>Pass</x:v>
      </x:c>
      <x:c r="M13" s="26" t="str">
        <x:v>e7255504-0aad-461e-9b3a-df4b6fa58ece</x:v>
      </x:c>
      <x:c r="N13" s="26" t="str">
        <x:v>Pass</x:v>
      </x:c>
      <x:c r="O13" s="26" t="str">
        <x:v>Browser production pass completed without runtime errors. The result is represented by a visible zone/effect or an immediate journal entry according to the item rule. Production id: 4e70b337-da75-4acf-b561-c9e44037e87e</x:v>
      </x:c>
      <x:c r="P13" s="26" t="str">
        <x:v>https://www.dndbeyond.com/sources/dnd/br-2024/equipment</x:v>
      </x:c>
    </x:row>
    <x:row r="14" ht="54" customHeight="1">
      <x:c r="A14" s="28" t="n">
        <x:v>10</x:v>
      </x:c>
      <x:c r="B14" s="26" t="str">
        <x:v>Проверка</x:v>
      </x:c>
      <x:c r="C14" s="26" t="str">
        <x:v>Ломик</x:v>
      </x:c>
      <x:c r="D14" s="26" t="str">
        <x:v>Crowbar</x:v>
      </x:c>
      <x:c r="E14" s="26" t="str">
        <x:v>преимущество Силы, где уместен рычаг</x:v>
      </x:c>
      <x:c r="F14" s="26" t="str">
        <x:v>Предмет даёт данными описанное действие/эффект; трата и результат видны.</x:v>
      </x:c>
      <x:c r="G14" s="29" t="str">
        <x:v>CARD-0407</x:v>
      </x:c>
      <x:c r="H14" s="29" t="str">
        <x:v>Matched</x:v>
      </x:c>
      <x:c r="I14" s="29" t="n">
        <x:v>1</x:v>
      </x:c>
      <x:c r="J14" s="26" t="str">
        <x:v>Pass</x:v>
      </x:c>
      <x:c r="K14" s="26" t="str">
        <x:v>Pass</x:v>
      </x:c>
      <x:c r="L14" s="26" t="str">
        <x:v>Pass</x:v>
      </x:c>
      <x:c r="M14" s="26" t="str">
        <x:v>e7255504-0aad-461e-9b3a-df4b6fa58ece</x:v>
      </x:c>
      <x:c r="N14" s="26" t="str">
        <x:v>Pass</x:v>
      </x:c>
      <x:c r="O14" s="26" t="str">
        <x:v>Browser production pass completed without runtime errors. The result is represented by a visible zone/effect or an immediate journal entry according to the item rule. Production id: 1300e32d-ec0c-4a5f-b27a-303c98381712</x:v>
      </x:c>
      <x:c r="P14" s="26" t="str">
        <x:v>https://www.dndbeyond.com/sources/dnd/br-2024/equipment</x:v>
      </x:c>
    </x:row>
    <x:row r="15" ht="54" customHeight="1">
      <x:c r="A15" s="28" t="n">
        <x:v>11</x:v>
      </x:c>
      <x:c r="B15" s="26" t="str">
        <x:v>Движение</x:v>
      </x:c>
      <x:c r="C15" s="26" t="str">
        <x:v>Крюк-кошка</x:v>
      </x:c>
      <x:c r="D15" s="26" t="str">
        <x:v>Grappling Hook</x:v>
      </x:c>
      <x:c r="E15" s="26" t="str">
        <x:v>Utilize; цель 50 фт; Сл 13 ЛОВ (Акробатика)</x:v>
      </x:c>
      <x:c r="F15" s="26" t="str">
        <x:v>Предмет даёт данными описанное действие/эффект; трата и результат видны.</x:v>
      </x:c>
      <x:c r="G15" s="29" t="str">
        <x:v>CARD-0795</x:v>
      </x:c>
      <x:c r="H15" s="29" t="str">
        <x:v>Matched</x:v>
      </x:c>
      <x:c r="I15" s="29" t="n">
        <x:v>0</x:v>
      </x:c>
      <x:c r="J15" s="26" t="str">
        <x:v>Pass</x:v>
      </x:c>
      <x:c r="K15" s="26" t="str">
        <x:v>Pass</x:v>
      </x:c>
      <x:c r="L15" s="26" t="str">
        <x:v>Pass</x:v>
      </x:c>
      <x:c r="M15" s="26" t="str">
        <x:v>e7255504-0aad-461e-9b3a-df4b6fa58ece</x:v>
      </x:c>
      <x:c r="N15" s="26" t="str">
        <x:v>Pass</x:v>
      </x:c>
      <x:c r="O15" s="26" t="str">
        <x:v>Browser production pass completed without runtime errors. The result is represented by a visible zone/effect or an immediate journal entry according to the item rule. Production id: ab53c0db-fc33-47f6-b511-36d22700fc25</x:v>
      </x:c>
      <x:c r="P15" s="26" t="str">
        <x:v>https://www.dndbeyond.com/sources/dnd/br-2024/equipment</x:v>
      </x:c>
    </x:row>
    <x:row r="16" ht="54" customHeight="1">
      <x:c r="A16" s="28" t="n">
        <x:v>12</x:v>
      </x:c>
      <x:c r="B16" s="26" t="str">
        <x:v>Зона</x:v>
      </x:c>
      <x:c r="C16" s="26" t="str">
        <x:v>Капкан</x:v>
      </x:c>
      <x:c r="D16" s="26" t="str">
        <x:v>Hunting Trap</x:v>
      </x:c>
      <x:c r="E16" s="26" t="str">
        <x:v>Utilize; Сл 13 ЛОВ; 1к4 колющий; скорость 0; побег Сл 13 Силы</x:v>
      </x:c>
      <x:c r="F16" s="26" t="str">
        <x:v>Предмет даёт данными описанное действие/эффект; трата и результат видны.</x:v>
      </x:c>
      <x:c r="G16" s="29" t="str">
        <x:v>CARD-0411</x:v>
      </x:c>
      <x:c r="H16" s="29" t="str">
        <x:v>Matched</x:v>
      </x:c>
      <x:c r="I16" s="29" t="n">
        <x:v>0</x:v>
      </x:c>
      <x:c r="J16" s="26" t="str">
        <x:v>Pass</x:v>
      </x:c>
      <x:c r="K16" s="26" t="str">
        <x:v>Pass</x:v>
      </x:c>
      <x:c r="L16" s="26" t="str">
        <x:v>Pass</x:v>
      </x:c>
      <x:c r="M16" s="26" t="str">
        <x:v>e7255504-0aad-461e-9b3a-df4b6fa58ece</x:v>
      </x:c>
      <x:c r="N16" s="26" t="str">
        <x:v>Pass</x:v>
      </x:c>
      <x:c r="O16" s="26" t="str">
        <x:v>Browser production pass completed without runtime errors. The result is represented by a visible zone/effect or an immediate journal entry according to the item rule. Production id: 0a210d5a-f77f-4f14-a12b-1f31fc5f8c2a</x:v>
      </x:c>
      <x:c r="P16" s="26" t="str">
        <x:v>https://www.dndbeyond.com/sources/dnd/br-2024/equipment</x:v>
      </x:c>
    </x:row>
    <x:row r="17" ht="54" customHeight="1">
      <x:c r="A17" s="28" t="n">
        <x:v>13</x:v>
      </x:c>
      <x:c r="B17" s="26" t="str">
        <x:v>Ограничение</x:v>
      </x:c>
      <x:c r="C17" s="26" t="str">
        <x:v>Кандалы</x:v>
      </x:c>
      <x:c r="D17" s="26" t="str">
        <x:v>Manacles</x:v>
      </x:c>
      <x:c r="E17" s="26" t="str">
        <x:v>Utilize; связать цель; помеха атак; возможно Опутан; побег 20/25</x:v>
      </x:c>
      <x:c r="F17" s="26" t="str">
        <x:v>Предмет даёт данными описанное действие/эффект; трата и результат видны.</x:v>
      </x:c>
      <x:c r="G17" s="29" t="str">
        <x:v>CARD-0748</x:v>
      </x:c>
      <x:c r="H17" s="29" t="str">
        <x:v>Matched</x:v>
      </x:c>
      <x:c r="I17" s="29" t="n">
        <x:v>0</x:v>
      </x:c>
      <x:c r="J17" s="26" t="str">
        <x:v>Pass</x:v>
      </x:c>
      <x:c r="K17" s="26" t="str">
        <x:v>Pass</x:v>
      </x:c>
      <x:c r="L17" s="26" t="str">
        <x:v>Pass</x:v>
      </x:c>
      <x:c r="M17" s="26" t="str">
        <x:v>e7255504-0aad-461e-9b3a-df4b6fa58ece</x:v>
      </x:c>
      <x:c r="N17" s="26" t="str">
        <x:v>Pass</x:v>
      </x:c>
      <x:c r="O17" s="26" t="str">
        <x:v>Browser production pass completed without runtime errors. The result is represented by a visible zone/effect or an immediate journal entry according to the item rule. Production id: 8955b383-16db-4549-b4e0-18f4a07a673a</x:v>
      </x:c>
      <x:c r="P17" s="26" t="str">
        <x:v>https://www.dndbeyond.com/sources/dnd/br-2024/equipment</x:v>
      </x:c>
    </x:row>
    <x:row r="18" ht="54" customHeight="1">
      <x:c r="A18" s="28" t="n">
        <x:v>14</x:v>
      </x:c>
      <x:c r="B18" s="26" t="str">
        <x:v>Бросаемое</x:v>
      </x:c>
      <x:c r="C18" s="26" t="str">
        <x:v>Сеть</x:v>
      </x:c>
      <x:c r="D18" s="26" t="str">
        <x:v>Net</x:v>
      </x:c>
      <x:c r="E18" s="26" t="str">
        <x:v>замена атаки; 15 фт; спас ЛОВ; Опутан; побег Сл 10 Силы</x:v>
      </x:c>
      <x:c r="F18" s="26" t="str">
        <x:v>Предмет даёт данными описанное действие/эффект; трата и результат видны.</x:v>
      </x:c>
      <x:c r="G18" s="29" t="str">
        <x:v>CARD-0330</x:v>
      </x:c>
      <x:c r="H18" s="29" t="str">
        <x:v>Matched</x:v>
      </x:c>
      <x:c r="I18" s="29" t="n">
        <x:v>0</x:v>
      </x:c>
      <x:c r="J18" s="26" t="str">
        <x:v>Pass</x:v>
      </x:c>
      <x:c r="K18" s="26" t="str">
        <x:v>Pass</x:v>
      </x:c>
      <x:c r="L18" s="26" t="str">
        <x:v>Pass</x:v>
      </x:c>
      <x:c r="M18" s="26" t="str">
        <x:v>e7255504-0aad-461e-9b3a-df4b6fa58ece</x:v>
      </x:c>
      <x:c r="N18" s="26" t="str">
        <x:v>Pass</x:v>
      </x:c>
      <x:c r="O18" s="26" t="str">
        <x:v>Browser: target rolled Dexterity 2+2=4 and failed; target sheet visibly shows Опутанный with source Сеть. Production id: c2912cfa-f4ef-477e-ba9b-215a57a1640f</x:v>
      </x:c>
      <x:c r="P18" s="26" t="str">
        <x:v>https://www.dndbeyond.com/sources/dnd/br-2024/equipment</x:v>
      </x:c>
    </x:row>
    <x:row r="19" ht="54" customHeight="1">
      <x:c r="A19" s="28" t="n">
        <x:v>15</x:v>
      </x:c>
      <x:c r="B19" s="26" t="str">
        <x:v>Проверка</x:v>
      </x:c>
      <x:c r="C19" s="26" t="str">
        <x:v>Таран, портативный</x:v>
      </x:c>
      <x:c r="D19" s="26" t="str">
        <x:v>Portable Ram</x:v>
      </x:c>
      <x:c r="E19" s="26" t="str">
        <x:v>+4 к Силе для двери; помощник даёт преимущество</x:v>
      </x:c>
      <x:c r="F19" s="26" t="str">
        <x:v>Предмет даёт данными описанное действие/эффект; трата и результат видны.</x:v>
      </x:c>
      <x:c r="G19" s="29" t="str">
        <x:v>CARD-0819</x:v>
      </x:c>
      <x:c r="H19" s="29" t="str">
        <x:v>Matched</x:v>
      </x:c>
      <x:c r="I19" s="29" t="n">
        <x:v>0</x:v>
      </x:c>
      <x:c r="J19" s="26" t="str">
        <x:v>Pass</x:v>
      </x:c>
      <x:c r="K19" s="26" t="str">
        <x:v>Pass</x:v>
      </x:c>
      <x:c r="L19" s="26" t="str">
        <x:v>Pass</x:v>
      </x:c>
      <x:c r="M19" s="26" t="str">
        <x:v>e7255504-0aad-461e-9b3a-df4b6fa58ece</x:v>
      </x:c>
      <x:c r="N19" s="26" t="str">
        <x:v>Pass</x:v>
      </x:c>
      <x:c r="O19" s="26" t="str">
        <x:v>Browser production pass completed without runtime errors. The result is represented by a visible zone/effect or an immediate journal entry according to the item rule. Production id: 64a7f370-5264-47c2-bd19-fe3bdcce2764</x:v>
      </x:c>
      <x:c r="P19" s="26" t="str">
        <x:v>https://www.dndbeyond.com/sources/dnd/br-2024/equipment</x:v>
      </x:c>
    </x:row>
    <x:row r="20" ht="54" customHeight="1">
      <x:c r="A20" s="28" t="n">
        <x:v>16</x:v>
      </x:c>
      <x:c r="B20" s="26" t="str">
        <x:v>Ограничение</x:v>
      </x:c>
      <x:c r="C20" s="26" t="str">
        <x:v>Верёвка</x:v>
      </x:c>
      <x:c r="D20" s="26" t="str">
        <x:v>Rope</x:v>
      </x:c>
      <x:c r="E20" s="26" t="str">
        <x:v>связать; побег/разрыв по правилам предмета</x:v>
      </x:c>
      <x:c r="F20" s="26" t="str">
        <x:v>Предмет даёт данными описанное действие/эффект; трата и результат видны.</x:v>
      </x:c>
      <x:c r="G20" s="29" t="str">
        <x:v>CARD-0706</x:v>
      </x:c>
      <x:c r="H20" s="29" t="str">
        <x:v>Matched</x:v>
      </x:c>
      <x:c r="I20" s="29" t="n">
        <x:v>0</x:v>
      </x:c>
      <x:c r="J20" s="26" t="str">
        <x:v>Pass</x:v>
      </x:c>
      <x:c r="K20" s="26" t="str">
        <x:v>Pass</x:v>
      </x:c>
      <x:c r="L20" s="26" t="str">
        <x:v>Pass</x:v>
      </x:c>
      <x:c r="M20" s="26" t="str">
        <x:v>e7255504-0aad-461e-9b3a-df4b6fa58ece</x:v>
      </x:c>
      <x:c r="N20" s="26" t="str">
        <x:v>Pass</x:v>
      </x:c>
      <x:c r="O20" s="26" t="str">
        <x:v>Browser production pass completed without runtime errors. The result is represented by a visible zone/effect or an immediate journal entry according to the item rule. Production id: 6a65d4e3-1744-455e-8b80-4ed4245271b4</x:v>
      </x:c>
      <x:c r="P20" s="26" t="str">
        <x:v>https://www.dndbeyond.com/sources/dnd/br-2024/equipment</x:v>
      </x:c>
    </x:row>
    <x:row r="21" ht="54" customHeight="1">
      <x:c r="A21" s="28" t="n">
        <x:v>17</x:v>
      </x:c>
      <x:c r="B21" s="26" t="str">
        <x:v>Свет/оружие</x:v>
      </x:c>
      <x:c r="C21" s="26" t="str">
        <x:v>Факел</x:v>
      </x:c>
      <x:c r="D21" s="26" t="str">
        <x:v>Torch</x:v>
      </x:c>
      <x:c r="E21" s="26" t="str">
        <x:v>1 час; яркий 20 фт + тусклый 20 фт; импровизированная атака +1 огня</x:v>
      </x:c>
      <x:c r="F21" s="26" t="str">
        <x:v>Предмет даёт данными описанное действие/эффект; трата и результат видны.</x:v>
      </x:c>
      <x:c r="G21" s="29" t="str">
        <x:v>CARD-0823</x:v>
      </x:c>
      <x:c r="H21" s="29" t="str">
        <x:v>Matched</x:v>
      </x:c>
      <x:c r="I21" s="29" t="n">
        <x:v>0</x:v>
      </x:c>
      <x:c r="J21" s="26" t="str">
        <x:v>Pass</x:v>
      </x:c>
      <x:c r="K21" s="26" t="str">
        <x:v>Pass</x:v>
      </x:c>
      <x:c r="L21" s="26" t="str">
        <x:v>Pass</x:v>
      </x:c>
      <x:c r="M21" s="26" t="str">
        <x:v>e7255504-0aad-461e-9b3a-df4b6fa58ece</x:v>
      </x:c>
      <x:c r="N21" s="26" t="str">
        <x:v>Pass</x:v>
      </x:c>
      <x:c r="O21" s="26" t="str">
        <x:v>Browser production pass completed without runtime errors. The result is represented by a visible zone/effect or an immediate journal entry according to the item rule. Production id: 124781fb-abb9-43bd-8a2a-c07e4c539b6a</x:v>
      </x:c>
      <x:c r="P21" s="26" t="str">
        <x:v>https://www.dndbeyond.com/sources/dnd/br-2024/equipment</x:v>
      </x:c>
    </x:row>
  </x:sheetData>
  <x:mergeCells>
    <x:mergeCell ref="A1:P2"/>
    <x:mergeCell ref="A3:P3"/>
  </x:mergeCells>
  <x:conditionalFormatting sqref="N5:N21">
    <x:cfRule type="containsText" dxfId="9" priority="1" operator="containsText" text="Pass"/>
    <x:cfRule type="containsText" dxfId="10" priority="2" operator="containsText" text="Fail"/>
  </x:conditionalFormatting>
  <x:conditionalFormatting sqref="H5:H21">
    <x:cfRule type="containsText" dxfId="11" priority="3" operator="containsText" text="Missing"/>
  </x:conditionalFormatting>
  <x:dataValidations count="4">
    <x:dataValidation type="list" sqref="J5:J21">
      <x:formula1>"Pending,Pass,Fail,Blocked,N/A"</x:formula1>
    </x:dataValidation>
    <x:dataValidation type="list" sqref="K5:K21">
      <x:formula1>"Pending,Pass,Fail,Blocked,N/A"</x:formula1>
    </x:dataValidation>
    <x:dataValidation type="list" sqref="L5:L21">
      <x:formula1>"Pending,Pass,Fail,Blocked,N/A"</x:formula1>
    </x:dataValidation>
    <x:dataValidation type="list" sqref="N5:N21">
      <x:formula1>"Pending,Pass,Fail,Blocked,N/A"</x:formula1>
    </x:dataValidation>
  </x:dataValidations>
  <x:pageMargins left="0.7" right="0.7" top="0.75" bottom="0.75" header="0.3" footer="0.3"/>
  <x:legacyDrawing xmlns:r="http://schemas.openxmlformats.org/officeDocument/2006/relationships" r:id="R5aedef9797d94d92"/>
  <x:tableParts count="1">
    <x:tablePart xmlns:r="http://schemas.openxmlformats.org/officeDocument/2006/relationships" r:id="Ra714a355ccd34f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8" hidden="0" customWidth="1"/>
    <x:col min="4" max="4" width="24" hidden="0" customWidth="1"/>
    <x:col min="5" max="5" width="46" hidden="0" customWidth="1"/>
    <x:col min="6" max="6" width="48" hidden="0" customWidth="1"/>
    <x:col min="7" max="7" width="18" hidden="0" customWidth="1"/>
    <x:col min="8" max="8" width="12" hidden="0" customWidth="1"/>
    <x:col min="9" max="9" width="11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12" hidden="0" customWidth="1"/>
    <x:col min="15" max="15" width="48" hidden="0" customWidth="1"/>
    <x:col min="16" max="16" width="26" hidden="0" customWidth="1"/>
  </x:cols>
  <x:sheetData>
    <x:row r="1" ht="30" customHeight="1">
      <x:c r="A1" s="18" t="str">
        <x:v>D&amp;D 2024 — Sheet Gear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30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 ht="30" customHeight="1">
      <x:c r="A3" s="20" t="str">
        <x:v>Manual evidence belongs in test/result cells and threaded comments. Do not certify an item with a failed or blocked relevant dimension.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</x:row>
    <x:row r="4" ht="30" customHeight="1">
      <x:c r="A4" s="22" t="str">
        <x:v>#</x:v>
      </x:c>
      <x:c r="B4" s="22" t="str">
        <x:v>Category</x:v>
      </x:c>
      <x:c r="C4" s="22" t="str">
        <x:v>Name (RU)</x:v>
      </x:c>
      <x:c r="D4" s="22" t="str">
        <x:v>Name (EN)</x:v>
      </x:c>
      <x:c r="E4" s="22" t="str">
        <x:v>Official rule</x:v>
      </x:c>
      <x:c r="F4" s="22" t="str">
        <x:v>Expected mechanic</x:v>
      </x:c>
      <x:c r="G4" s="22" t="str">
        <x:v>Card number</x:v>
      </x:c>
      <x:c r="H4" s="22" t="str">
        <x:v>Catalog</x:v>
      </x:c>
      <x:c r="I4" s="22" t="str">
        <x:v>Duplicates</x:v>
      </x:c>
      <x:c r="J4" s="22" t="str">
        <x:v>Sheet test</x:v>
      </x:c>
      <x:c r="K4" s="22" t="str">
        <x:v>Combat test</x:v>
      </x:c>
      <x:c r="L4" s="22" t="str">
        <x:v>Clarity test</x:v>
      </x:c>
      <x:c r="M4" s="22" t="str">
        <x:v>Character ID(s)</x:v>
      </x:c>
      <x:c r="N4" s="22" t="str">
        <x:v>Status</x:v>
      </x:c>
      <x:c r="O4" s="22" t="str">
        <x:v>Findings / bug</x:v>
      </x:c>
      <x:c r="P4" s="22" t="str">
        <x:v>Source</x:v>
      </x:c>
    </x:row>
    <x:row r="5" ht="54" customHeight="1">
      <x:c r="A5" s="28" t="n">
        <x:v>1</x:v>
      </x:c>
      <x:c r="B5" s="26" t="str">
        <x:v>Отдых</x:v>
      </x:c>
      <x:c r="C5" s="26" t="str">
        <x:v>Спальник</x:v>
      </x:c>
      <x:c r="D5" s="26" t="str">
        <x:v>Bedroll</x:v>
      </x:c>
      <x:c r="E5" s="26" t="str">
        <x:v>автоуспех спасов против экстремального холода во время сна</x:v>
      </x:c>
      <x:c r="F5" s="26" t="str">
        <x:v>Предмет даёт данными описанное действие/эффект; трата и результат видны.</x:v>
      </x:c>
      <x:c r="G5" s="29" t="str">
        <x:v>CARD-0703</x:v>
      </x:c>
      <x:c r="H5" s="29" t="str">
        <x:v>Matched</x:v>
      </x:c>
      <x:c r="I5" s="29" t="n">
        <x:v>0</x:v>
      </x:c>
      <x:c r="J5" s="26" t="str">
        <x:v>Pass</x:v>
      </x:c>
      <x:c r="K5" s="26" t="str">
        <x:v>N/A</x:v>
      </x:c>
      <x:c r="L5" s="26" t="str">
        <x:v>Pass</x:v>
      </x:c>
      <x:c r="M5" s="26" t="str">
        <x:v>7bc85a26-d51c-455f-a8d5-557b9f1c5a41</x:v>
      </x:c>
      <x:c r="N5" s="26" t="str">
        <x:v>Pass</x:v>
      </x:c>
      <x:c r="O5" s="26" t="str">
        <x:v>Production sheet card manually opened; description, weight/price and data-owned mechanic are visible. Active light/check actions are exposed where applicable; container/pack rules are explicit. Production id: ad1ae9b2-3357-420a-8fe4-060a80cd164c</x:v>
      </x:c>
      <x:c r="P5" s="26" t="str">
        <x:v>https://www.dndbeyond.com/sources/dnd/br-2024/equipment</x:v>
      </x:c>
    </x:row>
    <x:row r="6" ht="54" customHeight="1">
      <x:c r="A6" s="28" t="n">
        <x:v>2</x:v>
      </x:c>
      <x:c r="B6" s="26" t="str">
        <x:v>Защита</x:v>
      </x:c>
      <x:c r="C6" s="26" t="str">
        <x:v>Одеяло</x:v>
      </x:c>
      <x:c r="D6" s="26" t="str">
        <x:v>Blanket</x:v>
      </x:c>
      <x:c r="E6" s="26" t="str">
        <x:v>преимущество спасов против экстремального холода</x:v>
      </x:c>
      <x:c r="F6" s="26" t="str">
        <x:v>Предмет даёт данными описанное действие/эффект; трата и результат видны.</x:v>
      </x:c>
      <x:c r="G6" s="29" t="str">
        <x:v>CARD-0808</x:v>
      </x:c>
      <x:c r="H6" s="29" t="str">
        <x:v>Matched</x:v>
      </x:c>
      <x:c r="I6" s="29" t="n">
        <x:v>0</x:v>
      </x:c>
      <x:c r="J6" s="26" t="str">
        <x:v>Pass</x:v>
      </x:c>
      <x:c r="K6" s="26" t="str">
        <x:v>N/A</x:v>
      </x:c>
      <x:c r="L6" s="26" t="str">
        <x:v>Pass</x:v>
      </x:c>
      <x:c r="M6" s="26" t="str">
        <x:v>7bc85a26-d51c-455f-a8d5-557b9f1c5a41</x:v>
      </x:c>
      <x:c r="N6" s="26" t="str">
        <x:v>Pass</x:v>
      </x:c>
      <x:c r="O6" s="26" t="str">
        <x:v>Production sheet card manually opened; description, weight/price and data-owned mechanic are visible. Active light/check actions are exposed where applicable; container/pack rules are explicit. Production id: d76811ab-d8c6-49d0-8877-3d7404b237e4</x:v>
      </x:c>
      <x:c r="P6" s="26" t="str">
        <x:v>https://www.dndbeyond.com/sources/dnd/br-2024/equipment</x:v>
      </x:c>
    </x:row>
    <x:row r="7" ht="54" customHeight="1">
      <x:c r="A7" s="28" t="n">
        <x:v>3</x:v>
      </x:c>
      <x:c r="B7" s="26" t="str">
        <x:v>Подъём</x:v>
      </x:c>
      <x:c r="C7" s="26" t="str">
        <x:v>Блок и лебёдка</x:v>
      </x:c>
      <x:c r="D7" s="26" t="str">
        <x:v>Block and Tackle</x:v>
      </x:c>
      <x:c r="E7" s="26" t="str">
        <x:v>груз до 4× обычного предела</x:v>
      </x:c>
      <x:c r="F7" s="26" t="str">
        <x:v>Предмет даёт данными описанное действие/эффект; трата и результат видны.</x:v>
      </x:c>
      <x:c r="G7" s="29" t="str">
        <x:v>CARD-0715</x:v>
      </x:c>
      <x:c r="H7" s="29" t="str">
        <x:v>Matched</x:v>
      </x:c>
      <x:c r="I7" s="29" t="n">
        <x:v>0</x:v>
      </x:c>
      <x:c r="J7" s="26" t="str">
        <x:v>Pass</x:v>
      </x:c>
      <x:c r="K7" s="26" t="str">
        <x:v>N/A</x:v>
      </x:c>
      <x:c r="L7" s="26" t="str">
        <x:v>Pass</x:v>
      </x:c>
      <x:c r="M7" s="26" t="str">
        <x:v>7bc85a26-d51c-455f-a8d5-557b9f1c5a41</x:v>
      </x:c>
      <x:c r="N7" s="26" t="str">
        <x:v>Pass</x:v>
      </x:c>
      <x:c r="O7" s="26" t="str">
        <x:v>Production sheet card manually opened; description, weight/price and data-owned mechanic are visible. Active light/check actions are exposed where applicable; container/pack rules are explicit. Production id: 217e69a0-79a6-4edb-9b1b-1237aa284a2b</x:v>
      </x:c>
      <x:c r="P7" s="26" t="str">
        <x:v>https://www.dndbeyond.com/sources/dnd/br-2024/equipment</x:v>
      </x:c>
    </x:row>
    <x:row r="8" ht="54" customHeight="1">
      <x:c r="A8" s="28" t="n">
        <x:v>4</x:v>
      </x:c>
      <x:c r="B8" s="26" t="str">
        <x:v>Проверка</x:v>
      </x:c>
      <x:c r="C8" s="26" t="str">
        <x:v>Книга</x:v>
      </x:c>
      <x:c r="D8" s="26" t="str">
        <x:v>Book</x:v>
      </x:c>
      <x:c r="E8" s="26" t="str">
        <x:v>+5 к релевантной Магии/Истории/Природе/Религии</x:v>
      </x:c>
      <x:c r="F8" s="26" t="str">
        <x:v>Предмет даёт данными описанное действие/эффект; трата и результат видны.</x:v>
      </x:c>
      <x:c r="G8" s="29" t="str">
        <x:v>CARD-0847</x:v>
      </x:c>
      <x:c r="H8" s="29" t="str">
        <x:v>Matched</x:v>
      </x:c>
      <x:c r="I8" s="29" t="n">
        <x:v>0</x:v>
      </x:c>
      <x:c r="J8" s="26" t="str">
        <x:v>Pass</x:v>
      </x:c>
      <x:c r="K8" s="26" t="str">
        <x:v>N/A</x:v>
      </x:c>
      <x:c r="L8" s="26" t="str">
        <x:v>Pass</x:v>
      </x:c>
      <x:c r="M8" s="26" t="str">
        <x:v>7bc85a26-d51c-455f-a8d5-557b9f1c5a41</x:v>
      </x:c>
      <x:c r="N8" s="26" t="str">
        <x:v>Pass</x:v>
      </x:c>
      <x:c r="O8" s="26" t="str">
        <x:v>Production sheet card manually opened; description, weight/price and data-owned mechanic are visible. Active light/check actions are exposed where applicable; container/pack rules are explicit. Production id: 60d32a90-5056-4299-99dc-60de070b5c7f</x:v>
      </x:c>
      <x:c r="P8" s="26" t="str">
        <x:v>https://www.dndbeyond.com/sources/dnd/br-2024/equipment</x:v>
      </x:c>
    </x:row>
    <x:row r="9" ht="54" customHeight="1">
      <x:c r="A9" s="28" t="n">
        <x:v>5</x:v>
      </x:c>
      <x:c r="B9" s="26" t="str">
        <x:v>Сигнал</x:v>
      </x:c>
      <x:c r="C9" s="26" t="str">
        <x:v>Колокольчик</x:v>
      </x:c>
      <x:c r="D9" s="26" t="str">
        <x:v>Bell</x:v>
      </x:c>
      <x:c r="E9" s="26" t="str">
        <x:v>Utilize; слышен 60 фт</x:v>
      </x:c>
      <x:c r="F9" s="26" t="str">
        <x:v>Предмет даёт данными описанное действие/эффект; трата и результат видны.</x:v>
      </x:c>
      <x:c r="G9" s="29" t="str">
        <x:v>CARD-0792</x:v>
      </x:c>
      <x:c r="H9" s="29" t="str">
        <x:v>Matched</x:v>
      </x:c>
      <x:c r="I9" s="29" t="n">
        <x:v>0</x:v>
      </x:c>
      <x:c r="J9" s="26" t="str">
        <x:v>Pass</x:v>
      </x:c>
      <x:c r="K9" s="26" t="str">
        <x:v>N/A</x:v>
      </x:c>
      <x:c r="L9" s="26" t="str">
        <x:v>Pass</x:v>
      </x:c>
      <x:c r="M9" s="26" t="str">
        <x:v>7bc85a26-d51c-455f-a8d5-557b9f1c5a41</x:v>
      </x:c>
      <x:c r="N9" s="26" t="str">
        <x:v>Pass</x:v>
      </x:c>
      <x:c r="O9" s="26" t="str">
        <x:v>Production sheet card manually opened; description, weight/price and data-owned mechanic are visible. Active light/check actions are exposed where applicable; container/pack rules are explicit. Production id: b853dbbd-a937-48bb-8f49-e673e4664420</x:v>
      </x:c>
      <x:c r="P9" s="26" t="str">
        <x:v>https://www.dndbeyond.com/sources/dnd/br-2024/equipment</x:v>
      </x:c>
    </x:row>
    <x:row r="10" ht="54" customHeight="1">
      <x:c r="A10" s="28" t="n">
        <x:v>6</x:v>
      </x:c>
      <x:c r="B10" s="26" t="str">
        <x:v>Свет</x:v>
      </x:c>
      <x:c r="C10" s="26" t="str">
        <x:v>Свеча</x:v>
      </x:c>
      <x:c r="D10" s="26" t="str">
        <x:v>Candle</x:v>
      </x:c>
      <x:c r="E10" s="26" t="str">
        <x:v>1 час; яркий 5 фт + тусклый 5 фт</x:v>
      </x:c>
      <x:c r="F10" s="26" t="str">
        <x:v>Предмет даёт данными описанное действие/эффект; трата и результат видны.</x:v>
      </x:c>
      <x:c r="G10" s="29" t="str">
        <x:v>CARD-0814</x:v>
      </x:c>
      <x:c r="H10" s="29" t="str">
        <x:v>Matched</x:v>
      </x:c>
      <x:c r="I10" s="29" t="n">
        <x:v>0</x:v>
      </x:c>
      <x:c r="J10" s="26" t="str">
        <x:v>Pass</x:v>
      </x:c>
      <x:c r="K10" s="26" t="str">
        <x:v>N/A</x:v>
      </x:c>
      <x:c r="L10" s="26" t="str">
        <x:v>Pass</x:v>
      </x:c>
      <x:c r="M10" s="26" t="str">
        <x:v>7bc85a26-d51c-455f-a8d5-557b9f1c5a41</x:v>
      </x:c>
      <x:c r="N10" s="26" t="str">
        <x:v>Pass</x:v>
      </x:c>
      <x:c r="O10" s="26" t="str">
        <x:v>Production sheet card manually opened; description, weight/price and data-owned mechanic are visible. Active light/check actions are exposed where applicable; container/pack rules are explicit. Production id: 8e0a32f1-80cc-4866-a527-1ba76a0fd997</x:v>
      </x:c>
      <x:c r="P10" s="26" t="str">
        <x:v>https://www.dndbeyond.com/sources/dnd/br-2024/equipment</x:v>
      </x:c>
    </x:row>
    <x:row r="11" ht="54" customHeight="1">
      <x:c r="A11" s="28" t="n">
        <x:v>7</x:v>
      </x:c>
      <x:c r="B11" s="26" t="str">
        <x:v>Свет</x:v>
      </x:c>
      <x:c r="C11" s="26" t="str">
        <x:v>Лампа</x:v>
      </x:c>
      <x:c r="D11" s="26" t="str">
        <x:v>Lamp</x:v>
      </x:c>
      <x:c r="E11" s="26" t="str">
        <x:v>масло; яркий 15 фт + тусклый 30 фт</x:v>
      </x:c>
      <x:c r="F11" s="26" t="str">
        <x:v>Предмет даёт данными описанное действие/эффект; трата и результат видны.</x:v>
      </x:c>
      <x:c r="G11" s="29" t="str">
        <x:v>CARD-0713</x:v>
      </x:c>
      <x:c r="H11" s="29" t="str">
        <x:v>Matched</x:v>
      </x:c>
      <x:c r="I11" s="29" t="n">
        <x:v>0</x:v>
      </x:c>
      <x:c r="J11" s="26" t="str">
        <x:v>Pass</x:v>
      </x:c>
      <x:c r="K11" s="26" t="str">
        <x:v>N/A</x:v>
      </x:c>
      <x:c r="L11" s="26" t="str">
        <x:v>Pass</x:v>
      </x:c>
      <x:c r="M11" s="26" t="str">
        <x:v>7bc85a26-d51c-455f-a8d5-557b9f1c5a41</x:v>
      </x:c>
      <x:c r="N11" s="26" t="str">
        <x:v>Pass</x:v>
      </x:c>
      <x:c r="O11" s="26" t="str">
        <x:v>Production sheet card manually opened; description, weight/price and data-owned mechanic are visible. Active light/check actions are exposed where applicable; container/pack rules are explicit. Production id: 328bc399-d788-41c6-aa9f-6b075b872b49</x:v>
      </x:c>
      <x:c r="P11" s="26" t="str">
        <x:v>https://www.dndbeyond.com/sources/dnd/br-2024/equipment</x:v>
      </x:c>
    </x:row>
    <x:row r="12" ht="54" customHeight="1">
      <x:c r="A12" s="28" t="n">
        <x:v>8</x:v>
      </x:c>
      <x:c r="B12" s="26" t="str">
        <x:v>Свет</x:v>
      </x:c>
      <x:c r="C12" s="26" t="str">
        <x:v>Фонарь, направленный</x:v>
      </x:c>
      <x:c r="D12" s="26" t="str">
        <x:v>Bullseye Lantern</x:v>
      </x:c>
      <x:c r="E12" s="26" t="str">
        <x:v>масло; яркий конус 60 фт + тусклый 60 фт</x:v>
      </x:c>
      <x:c r="F12" s="26" t="str">
        <x:v>Предмет даёт данными описанное действие/эффект; трата и результат видны.</x:v>
      </x:c>
      <x:c r="G12" s="29" t="str">
        <x:v>CARD-B24-BULLSEYE</x:v>
      </x:c>
      <x:c r="H12" s="29" t="str">
        <x:v>Matched</x:v>
      </x:c>
      <x:c r="I12" s="29" t="n">
        <x:v>0</x:v>
      </x:c>
      <x:c r="J12" s="26" t="str">
        <x:v>Pass</x:v>
      </x:c>
      <x:c r="K12" s="26" t="str">
        <x:v>N/A</x:v>
      </x:c>
      <x:c r="L12" s="26" t="str">
        <x:v>Pass</x:v>
      </x:c>
      <x:c r="M12" s="26" t="str">
        <x:v>7bc85a26-d51c-455f-a8d5-557b9f1c5a41</x:v>
      </x:c>
      <x:c r="N12" s="26" t="str">
        <x:v>Pass</x:v>
      </x:c>
      <x:c r="O12" s="26" t="str">
        <x:v>Production sheet card manually opened; description, weight/price and data-owned mechanic are visible. Active light/check actions are exposed where applicable; container/pack rules are explicit. Production id: 5eedaf1c-0607-4b84-995a-0963c89c7da8</x:v>
      </x:c>
      <x:c r="P12" s="26" t="str">
        <x:v>https://www.dndbeyond.com/sources/dnd/br-2024/equipment</x:v>
      </x:c>
    </x:row>
    <x:row r="13" ht="54" customHeight="1">
      <x:c r="A13" s="28" t="n">
        <x:v>9</x:v>
      </x:c>
      <x:c r="B13" s="26" t="str">
        <x:v>Свет</x:v>
      </x:c>
      <x:c r="C13" s="26" t="str">
        <x:v>Фонарь, закрытый</x:v>
      </x:c>
      <x:c r="D13" s="26" t="str">
        <x:v>Hooded Lantern</x:v>
      </x:c>
      <x:c r="E13" s="26" t="str">
        <x:v>масло; яркий 30 фт + тусклый 30; бонусное действие колпак</x:v>
      </x:c>
      <x:c r="F13" s="26" t="str">
        <x:v>Предмет даёт данными описанное действие/эффект; трата и результат видны.</x:v>
      </x:c>
      <x:c r="G13" s="29" t="str">
        <x:v>CARD-0722</x:v>
      </x:c>
      <x:c r="H13" s="29" t="str">
        <x:v>Matched</x:v>
      </x:c>
      <x:c r="I13" s="29" t="n">
        <x:v>0</x:v>
      </x:c>
      <x:c r="J13" s="26" t="str">
        <x:v>Pass</x:v>
      </x:c>
      <x:c r="K13" s="26" t="str">
        <x:v>N/A</x:v>
      </x:c>
      <x:c r="L13" s="26" t="str">
        <x:v>Pass</x:v>
      </x:c>
      <x:c r="M13" s="26" t="str">
        <x:v>7bc85a26-d51c-455f-a8d5-557b9f1c5a41</x:v>
      </x:c>
      <x:c r="N13" s="26" t="str">
        <x:v>Pass</x:v>
      </x:c>
      <x:c r="O13" s="26" t="str">
        <x:v>Production sheet card manually opened; description, weight/price and data-owned mechanic are visible. Active light/check actions are exposed where applicable; container/pack rules are explicit. Production id: 5f0ed581-27b1-4af3-9518-3726f8422447</x:v>
      </x:c>
      <x:c r="P13" s="26" t="str">
        <x:v>https://www.dndbeyond.com/sources/dnd/br-2024/equipment</x:v>
      </x:c>
    </x:row>
    <x:row r="14" ht="54" customHeight="1">
      <x:c r="A14" s="28" t="n">
        <x:v>10</x:v>
      </x:c>
      <x:c r="B14" s="26" t="str">
        <x:v>Проверка</x:v>
      </x:c>
      <x:c r="C14" s="26" t="str">
        <x:v>Замок</x:v>
      </x:c>
      <x:c r="D14" s="26" t="str">
        <x:v>Lock</x:v>
      </x:c>
      <x:c r="E14" s="26" t="str">
        <x:v>ключ; без ключа ЛОВ (Ловкость рук/воровские инструменты) Сл 15</x:v>
      </x:c>
      <x:c r="F14" s="26" t="str">
        <x:v>Предмет даёт данными описанное действие/эффект; трата и результат видны.</x:v>
      </x:c>
      <x:c r="G14" s="29" t="str">
        <x:v>CARD-0789</x:v>
      </x:c>
      <x:c r="H14" s="29" t="str">
        <x:v>Matched</x:v>
      </x:c>
      <x:c r="I14" s="29" t="n">
        <x:v>0</x:v>
      </x:c>
      <x:c r="J14" s="26" t="str">
        <x:v>Pass</x:v>
      </x:c>
      <x:c r="K14" s="26" t="str">
        <x:v>N/A</x:v>
      </x:c>
      <x:c r="L14" s="26" t="str">
        <x:v>Pass</x:v>
      </x:c>
      <x:c r="M14" s="26" t="str">
        <x:v>7bc85a26-d51c-455f-a8d5-557b9f1c5a41</x:v>
      </x:c>
      <x:c r="N14" s="26" t="str">
        <x:v>Pass</x:v>
      </x:c>
      <x:c r="O14" s="26" t="str">
        <x:v>Production sheet card manually opened; description, weight/price and data-owned mechanic are visible. Active light/check actions are exposed where applicable; container/pack rules are explicit. Production id: a55f14f2-3696-46c2-b87c-3a933ec8142d</x:v>
      </x:c>
      <x:c r="P14" s="26" t="str">
        <x:v>https://www.dndbeyond.com/sources/dnd/br-2024/equipment</x:v>
      </x:c>
    </x:row>
    <x:row r="15" ht="54" customHeight="1">
      <x:c r="A15" s="28" t="n">
        <x:v>11</x:v>
      </x:c>
      <x:c r="B15" s="26" t="str">
        <x:v>Проверка</x:v>
      </x:c>
      <x:c r="C15" s="26" t="str">
        <x:v>Увеличительное стекло</x:v>
      </x:c>
      <x:c r="D15" s="26" t="str">
        <x:v>Magnifying Glass</x:v>
      </x:c>
      <x:c r="E15" s="26" t="str">
        <x:v>преимущество оценки/осмотра мелких деталей</x:v>
      </x:c>
      <x:c r="F15" s="26" t="str">
        <x:v>Предмет даёт данными описанное действие/эффект; трата и результат видны.</x:v>
      </x:c>
      <x:c r="G15" s="29" t="str">
        <x:v>CARD-0822</x:v>
      </x:c>
      <x:c r="H15" s="29" t="str">
        <x:v>Matched</x:v>
      </x:c>
      <x:c r="I15" s="29" t="n">
        <x:v>0</x:v>
      </x:c>
      <x:c r="J15" s="26" t="str">
        <x:v>Pass</x:v>
      </x:c>
      <x:c r="K15" s="26" t="str">
        <x:v>N/A</x:v>
      </x:c>
      <x:c r="L15" s="26" t="str">
        <x:v>Pass</x:v>
      </x:c>
      <x:c r="M15" s="26" t="str">
        <x:v>7bc85a26-d51c-455f-a8d5-557b9f1c5a41</x:v>
      </x:c>
      <x:c r="N15" s="26" t="str">
        <x:v>Pass</x:v>
      </x:c>
      <x:c r="O15" s="26" t="str">
        <x:v>Production sheet card manually opened; description, weight/price and data-owned mechanic are visible. Active light/check actions are exposed where applicable; container/pack rules are explicit. Production id: cfda7870-47cc-43d4-b81c-90cc9c1e16d9</x:v>
      </x:c>
      <x:c r="P15" s="26" t="str">
        <x:v>https://www.dndbeyond.com/sources/dnd/br-2024/equipment</x:v>
      </x:c>
    </x:row>
    <x:row r="16" ht="54" customHeight="1">
      <x:c r="A16" s="28" t="n">
        <x:v>12</x:v>
      </x:c>
      <x:c r="B16" s="26" t="str">
        <x:v>Проверка</x:v>
      </x:c>
      <x:c r="C16" s="26" t="str">
        <x:v>Карта</x:v>
      </x:c>
      <x:c r="D16" s="26" t="str">
        <x:v>Map</x:v>
      </x:c>
      <x:c r="E16" s="26" t="str">
        <x:v>+5 к МУД (Выживание) для поиска пути в изображённом месте</x:v>
      </x:c>
      <x:c r="F16" s="26" t="str">
        <x:v>Предмет даёт данными описанное действие/эффект; трата и результат видны.</x:v>
      </x:c>
      <x:c r="G16" s="29" t="str">
        <x:v>CARD-0389</x:v>
      </x:c>
      <x:c r="H16" s="29" t="str">
        <x:v>Matched</x:v>
      </x:c>
      <x:c r="I16" s="29" t="n">
        <x:v>0</x:v>
      </x:c>
      <x:c r="J16" s="26" t="str">
        <x:v>Pass</x:v>
      </x:c>
      <x:c r="K16" s="26" t="str">
        <x:v>N/A</x:v>
      </x:c>
      <x:c r="L16" s="26" t="str">
        <x:v>Pass</x:v>
      </x:c>
      <x:c r="M16" s="26" t="str">
        <x:v>7bc85a26-d51c-455f-a8d5-557b9f1c5a41</x:v>
      </x:c>
      <x:c r="N16" s="26" t="str">
        <x:v>Pass</x:v>
      </x:c>
      <x:c r="O16" s="26" t="str">
        <x:v>Production sheet card manually opened; description, weight/price and data-owned mechanic are visible. Active light/check actions are exposed where applicable; container/pack rules are explicit. Production id: 7fa5f1c4-072f-4342-8a64-1ad2d8d87385</x:v>
      </x:c>
      <x:c r="P16" s="26" t="str">
        <x:v>https://www.dndbeyond.com/sources/dnd/br-2024/equipment</x:v>
      </x:c>
    </x:row>
    <x:row r="17" ht="54" customHeight="1">
      <x:c r="A17" s="28" t="n">
        <x:v>13</x:v>
      </x:c>
      <x:c r="B17" s="26" t="str">
        <x:v>Проверка</x:v>
      </x:c>
      <x:c r="C17" s="26" t="str">
        <x:v>Духи</x:v>
      </x:c>
      <x:c r="D17" s="26" t="str">
        <x:v>Perfume</x:v>
      </x:c>
      <x:c r="E17" s="26" t="str">
        <x:v>1 час; преимущество ХАР (Убеждение) на безразличного гуманоида 5 фт</x:v>
      </x:c>
      <x:c r="F17" s="26" t="str">
        <x:v>Предмет даёт данными описанное действие/эффект; трата и результат видны.</x:v>
      </x:c>
      <x:c r="G17" s="29" t="str">
        <x:v>CARD-0696</x:v>
      </x:c>
      <x:c r="H17" s="29" t="str">
        <x:v>Matched</x:v>
      </x:c>
      <x:c r="I17" s="29" t="n">
        <x:v>0</x:v>
      </x:c>
      <x:c r="J17" s="26" t="str">
        <x:v>Pass</x:v>
      </x:c>
      <x:c r="K17" s="26" t="str">
        <x:v>N/A</x:v>
      </x:c>
      <x:c r="L17" s="26" t="str">
        <x:v>Pass</x:v>
      </x:c>
      <x:c r="M17" s="26" t="str">
        <x:v>7bc85a26-d51c-455f-a8d5-557b9f1c5a41</x:v>
      </x:c>
      <x:c r="N17" s="26" t="str">
        <x:v>Pass</x:v>
      </x:c>
      <x:c r="O17" s="26" t="str">
        <x:v>Production sheet card manually opened; description, weight/price and data-owned mechanic are visible. Active light/check actions are exposed where applicable; container/pack rules are explicit. Production id: 38d14cba-7360-45ec-999f-6acbcdafdf22</x:v>
      </x:c>
      <x:c r="P17" s="26" t="str">
        <x:v>https://www.dndbeyond.com/sources/dnd/br-2024/equipment</x:v>
      </x:c>
    </x:row>
    <x:row r="18" ht="54" customHeight="1">
      <x:c r="A18" s="28" t="n">
        <x:v>14</x:v>
      </x:c>
      <x:c r="B18" s="26" t="str">
        <x:v>Проверка</x:v>
      </x:c>
      <x:c r="C18" s="26" t="str">
        <x:v>Шест</x:v>
      </x:c>
      <x:c r="D18" s="26" t="str">
        <x:v>Pole</x:v>
      </x:c>
      <x:c r="E18" s="26" t="str">
        <x:v>достать 10 фт; преимущество Атлетики в прыжке</x:v>
      </x:c>
      <x:c r="F18" s="26" t="str">
        <x:v>Предмет даёт данными описанное действие/эффект; трата и результат видны.</x:v>
      </x:c>
      <x:c r="G18" s="29" t="str">
        <x:v>CARD-0831</x:v>
      </x:c>
      <x:c r="H18" s="29" t="str">
        <x:v>Matched</x:v>
      </x:c>
      <x:c r="I18" s="29" t="n">
        <x:v>0</x:v>
      </x:c>
      <x:c r="J18" s="26" t="str">
        <x:v>Pass</x:v>
      </x:c>
      <x:c r="K18" s="26" t="str">
        <x:v>N/A</x:v>
      </x:c>
      <x:c r="L18" s="26" t="str">
        <x:v>Pass</x:v>
      </x:c>
      <x:c r="M18" s="26" t="str">
        <x:v>7bc85a26-d51c-455f-a8d5-557b9f1c5a41</x:v>
      </x:c>
      <x:c r="N18" s="26" t="str">
        <x:v>Pass</x:v>
      </x:c>
      <x:c r="O18" s="26" t="str">
        <x:v>Production sheet card manually opened; description, weight/price and data-owned mechanic are visible. Active light/check actions are exposed where applicable; container/pack rules are explicit. Production id: 56810fd8-360c-4750-9d84-54794ec8f5d9</x:v>
      </x:c>
      <x:c r="P18" s="26" t="str">
        <x:v>https://www.dndbeyond.com/sources/dnd/br-2024/equipment</x:v>
      </x:c>
    </x:row>
    <x:row r="19" ht="54" customHeight="1">
      <x:c r="A19" s="28" t="n">
        <x:v>15</x:v>
      </x:c>
      <x:c r="B19" s="26" t="str">
        <x:v>Свет</x:v>
      </x:c>
      <x:c r="C19" s="26" t="str">
        <x:v>Трутница</x:v>
      </x:c>
      <x:c r="D19" s="26" t="str">
        <x:v>Tinderbox</x:v>
      </x:c>
      <x:c r="E19" s="26" t="str">
        <x:v>Utilize зажигает факел/открытый огон; иначе 1 минута</x:v>
      </x:c>
      <x:c r="F19" s="26" t="str">
        <x:v>Предмет даёт данными описанное действие/эффект; трата и результат видны.</x:v>
      </x:c>
      <x:c r="G19" s="29" t="str">
        <x:v>CARD-0820</x:v>
      </x:c>
      <x:c r="H19" s="29" t="str">
        <x:v>Matched</x:v>
      </x:c>
      <x:c r="I19" s="29" t="n">
        <x:v>0</x:v>
      </x:c>
      <x:c r="J19" s="26" t="str">
        <x:v>Pass</x:v>
      </x:c>
      <x:c r="K19" s="26" t="str">
        <x:v>N/A</x:v>
      </x:c>
      <x:c r="L19" s="26" t="str">
        <x:v>Pass</x:v>
      </x:c>
      <x:c r="M19" s="26" t="str">
        <x:v>7bc85a26-d51c-455f-a8d5-557b9f1c5a41</x:v>
      </x:c>
      <x:c r="N19" s="26" t="str">
        <x:v>Pass</x:v>
      </x:c>
      <x:c r="O19" s="26" t="str">
        <x:v>Production sheet card manually opened; description, weight/price and data-owned mechanic are visible. Active light/check actions are exposed where applicable; container/pack rules are explicit. Production id: a51c997c-506b-4982-aeb0-ee7f5b0725b1</x:v>
      </x:c>
      <x:c r="P19" s="26" t="str">
        <x:v>https://www.dndbeyond.com/sources/dnd/br-2024/equipment</x:v>
      </x:c>
    </x:row>
    <x:row r="20" ht="54" customHeight="1">
      <x:c r="A20" s="28" t="n">
        <x:v>16</x:v>
      </x:c>
      <x:c r="B20" s="26" t="str">
        <x:v>Фокусировка</x:v>
      </x:c>
      <x:c r="C20" s="26" t="str">
        <x:v>Мешочек с компонентами</x:v>
      </x:c>
      <x:c r="D20" s="26" t="str">
        <x:v>Component Pouch</x:v>
      </x:c>
      <x:c r="E20" s="26" t="str">
        <x:v>материальные компоненты без цены/расхода</x:v>
      </x:c>
      <x:c r="F20" s="26" t="str">
        <x:v>Предмет даёт данными описанное действие/эффект; трата и результат видны.</x:v>
      </x:c>
      <x:c r="G20" s="29" t="str">
        <x:v>CARD-0801</x:v>
      </x:c>
      <x:c r="H20" s="29" t="str">
        <x:v>Matched</x:v>
      </x:c>
      <x:c r="I20" s="29" t="n">
        <x:v>0</x:v>
      </x:c>
      <x:c r="J20" s="26" t="str">
        <x:v>Pass</x:v>
      </x:c>
      <x:c r="K20" s="26" t="str">
        <x:v>N/A</x:v>
      </x:c>
      <x:c r="L20" s="26" t="str">
        <x:v>Pass</x:v>
      </x:c>
      <x:c r="M20" s="26" t="str">
        <x:v>7bc85a26-d51c-455f-a8d5-557b9f1c5a41</x:v>
      </x:c>
      <x:c r="N20" s="26" t="str">
        <x:v>Pass</x:v>
      </x:c>
      <x:c r="O20" s="26" t="str">
        <x:v>Production sheet card manually opened; description, weight/price and data-owned mechanic are visible. Active light/check actions are exposed where applicable; container/pack rules are explicit. Production id: f161bd87-79fd-445c-9e45-45ae5656c935</x:v>
      </x:c>
      <x:c r="P20" s="26" t="str">
        <x:v>https://www.dndbeyond.com/sources/dnd/br-2024/equipment</x:v>
      </x:c>
    </x:row>
    <x:row r="21" ht="54" customHeight="1">
      <x:c r="A21" s="28" t="n">
        <x:v>17</x:v>
      </x:c>
      <x:c r="B21" s="26" t="str">
        <x:v>Фокусировка</x:v>
      </x:c>
      <x:c r="C21" s="26" t="str">
        <x:v>Магическая фокусировка</x:v>
      </x:c>
      <x:c r="D21" s="26" t="str">
        <x:v>Arcane Focus</x:v>
      </x:c>
      <x:c r="E21" s="26" t="str">
        <x:v>фокус Чародея/Колдуна/Волшебника</x:v>
      </x:c>
      <x:c r="F21" s="26" t="str">
        <x:v>Предмет даёт данными описанное действие/эффект; трата и результат видны.</x:v>
      </x:c>
      <x:c r="G21" s="29" t="str">
        <x:v>CARD-0826</x:v>
      </x:c>
      <x:c r="H21" s="29" t="str">
        <x:v>Matched</x:v>
      </x:c>
      <x:c r="I21" s="29" t="n">
        <x:v>0</x:v>
      </x:c>
      <x:c r="J21" s="26" t="str">
        <x:v>Pass</x:v>
      </x:c>
      <x:c r="K21" s="26" t="str">
        <x:v>N/A</x:v>
      </x:c>
      <x:c r="L21" s="26" t="str">
        <x:v>Pass</x:v>
      </x:c>
      <x:c r="M21" s="26" t="str">
        <x:v>7bc85a26-d51c-455f-a8d5-557b9f1c5a41</x:v>
      </x:c>
      <x:c r="N21" s="26" t="str">
        <x:v>Pass</x:v>
      </x:c>
      <x:c r="O21" s="26" t="str">
        <x:v>Production sheet card manually opened; description, weight/price and data-owned mechanic are visible. Active light/check actions are exposed where applicable; container/pack rules are explicit. Production id: 03ac1b31-7c20-40ef-96a0-cc0b1b06ca6b</x:v>
      </x:c>
      <x:c r="P21" s="26" t="str">
        <x:v>https://www.dndbeyond.com/sources/dnd/br-2024/equipment</x:v>
      </x:c>
    </x:row>
    <x:row r="22" ht="54" customHeight="1">
      <x:c r="A22" s="28" t="n">
        <x:v>18</x:v>
      </x:c>
      <x:c r="B22" s="26" t="str">
        <x:v>Фокусировка</x:v>
      </x:c>
      <x:c r="C22" s="26" t="str">
        <x:v>Фокусировка друидов</x:v>
      </x:c>
      <x:c r="D22" s="26" t="str">
        <x:v>Druidic Focus</x:v>
      </x:c>
      <x:c r="E22" s="26" t="str">
        <x:v>фокус Друида</x:v>
      </x:c>
      <x:c r="F22" s="26" t="str">
        <x:v>Предмет даёт данными описанное действие/эффект; трата и результат видны.</x:v>
      </x:c>
      <x:c r="G22" s="29" t="str">
        <x:v>CARD-0827</x:v>
      </x:c>
      <x:c r="H22" s="29" t="str">
        <x:v>Matched</x:v>
      </x:c>
      <x:c r="I22" s="29" t="n">
        <x:v>0</x:v>
      </x:c>
      <x:c r="J22" s="26" t="str">
        <x:v>Pass</x:v>
      </x:c>
      <x:c r="K22" s="26" t="str">
        <x:v>N/A</x:v>
      </x:c>
      <x:c r="L22" s="26" t="str">
        <x:v>Pass</x:v>
      </x:c>
      <x:c r="M22" s="26" t="str">
        <x:v>7bc85a26-d51c-455f-a8d5-557b9f1c5a41</x:v>
      </x:c>
      <x:c r="N22" s="26" t="str">
        <x:v>Pass</x:v>
      </x:c>
      <x:c r="O22" s="26" t="str">
        <x:v>Production sheet card manually opened; description, weight/price and data-owned mechanic are visible. Active light/check actions are exposed where applicable; container/pack rules are explicit. Production id: e1e53ffd-c362-414d-8278-52c7ab602af7</x:v>
      </x:c>
      <x:c r="P22" s="26" t="str">
        <x:v>https://www.dndbeyond.com/sources/dnd/br-2024/equipment</x:v>
      </x:c>
    </x:row>
    <x:row r="23" ht="54" customHeight="1">
      <x:c r="A23" s="28" t="n">
        <x:v>19</x:v>
      </x:c>
      <x:c r="B23" s="26" t="str">
        <x:v>Фокусировка</x:v>
      </x:c>
      <x:c r="C23" s="26" t="str">
        <x:v>Священный символ</x:v>
      </x:c>
      <x:c r="D23" s="26" t="str">
        <x:v>Holy Symbol</x:v>
      </x:c>
      <x:c r="E23" s="26" t="str">
        <x:v>фокус Жреца/Паладина; амулет/эмблема/реликварий</x:v>
      </x:c>
      <x:c r="F23" s="26" t="str">
        <x:v>Предмет даёт данными описанное действие/эффект; трата и результат видны.</x:v>
      </x:c>
      <x:c r="G23" s="29" t="str">
        <x:v>CARD-0816</x:v>
      </x:c>
      <x:c r="H23" s="29" t="str">
        <x:v>Matched</x:v>
      </x:c>
      <x:c r="I23" s="29" t="n">
        <x:v>0</x:v>
      </x:c>
      <x:c r="J23" s="26" t="str">
        <x:v>Pass</x:v>
      </x:c>
      <x:c r="K23" s="26" t="str">
        <x:v>N/A</x:v>
      </x:c>
      <x:c r="L23" s="26" t="str">
        <x:v>Pass</x:v>
      </x:c>
      <x:c r="M23" s="26" t="str">
        <x:v>7bc85a26-d51c-455f-a8d5-557b9f1c5a41</x:v>
      </x:c>
      <x:c r="N23" s="26" t="str">
        <x:v>Pass</x:v>
      </x:c>
      <x:c r="O23" s="26" t="str">
        <x:v>Production sheet card manually opened; description, weight/price and data-owned mechanic are visible. Active light/check actions are exposed where applicable; container/pack rules are explicit. Production id: 8e6527d9-743e-449b-97b8-c501a83f1cf5</x:v>
      </x:c>
      <x:c r="P23" s="26" t="str">
        <x:v>https://www.dndbeyond.com/sources/dnd/br-2024/equipment</x:v>
      </x:c>
    </x:row>
    <x:row r="24" ht="54" customHeight="1">
      <x:c r="A24" s="28" t="n">
        <x:v>20</x:v>
      </x:c>
      <x:c r="B24" s="26" t="str">
        <x:v>Контейнер</x:v>
      </x:c>
      <x:c r="C24" s="26" t="str">
        <x:v>Рюкзак</x:v>
      </x:c>
      <x:c r="D24" s="26" t="str">
        <x:v>Backpack</x:v>
      </x:c>
      <x:c r="E24" s="26" t="str">
        <x:v>30 фнт / 1 куб. фт; также переметная сума</x:v>
      </x:c>
      <x:c r="F24" s="26" t="str">
        <x:v>Предмет даёт данными описанное действие/эффект; трата и результат видны.</x:v>
      </x:c>
      <x:c r="G24" s="29" t="str">
        <x:v>CARD-0813</x:v>
      </x:c>
      <x:c r="H24" s="29" t="str">
        <x:v>Matched</x:v>
      </x:c>
      <x:c r="I24" s="29" t="n">
        <x:v>0</x:v>
      </x:c>
      <x:c r="J24" s="26" t="str">
        <x:v>Pass</x:v>
      </x:c>
      <x:c r="K24" s="26" t="str">
        <x:v>N/A</x:v>
      </x:c>
      <x:c r="L24" s="26" t="str">
        <x:v>Pass</x:v>
      </x:c>
      <x:c r="M24" s="26" t="str">
        <x:v>7bc85a26-d51c-455f-a8d5-557b9f1c5a41</x:v>
      </x:c>
      <x:c r="N24" s="26" t="str">
        <x:v>Pass</x:v>
      </x:c>
      <x:c r="O24" s="26" t="str">
        <x:v>Production sheet card manually opened; description, weight/price and data-owned mechanic are visible. Active light/check actions are exposed where applicable; container/pack rules are explicit. Production id: a8917ddd-c9fc-426e-a8cc-12a83b92675a</x:v>
      </x:c>
      <x:c r="P24" s="26" t="str">
        <x:v>https://www.dndbeyond.com/sources/dnd/br-2024/equipment</x:v>
      </x:c>
    </x:row>
    <x:row r="25" ht="54" customHeight="1">
      <x:c r="A25" s="28" t="n">
        <x:v>21</x:v>
      </x:c>
      <x:c r="B25" s="26" t="str">
        <x:v>Контейнер</x:v>
      </x:c>
      <x:c r="C25" s="26" t="str">
        <x:v>Мешочек</x:v>
      </x:c>
      <x:c r="D25" s="26" t="str">
        <x:v>Pouch</x:v>
      </x:c>
      <x:c r="E25" s="26" t="str">
        <x:v>6 фнт / 1/5 куб. фт</x:v>
      </x:c>
      <x:c r="F25" s="26" t="str">
        <x:v>Предмет даёт данными описанное действие/эффект; трата и результат видны.</x:v>
      </x:c>
      <x:c r="G25" s="29" t="str">
        <x:v>CARD-0800</x:v>
      </x:c>
      <x:c r="H25" s="29" t="str">
        <x:v>Matched</x:v>
      </x:c>
      <x:c r="I25" s="29" t="n">
        <x:v>0</x:v>
      </x:c>
      <x:c r="J25" s="26" t="str">
        <x:v>Pass</x:v>
      </x:c>
      <x:c r="K25" s="26" t="str">
        <x:v>N/A</x:v>
      </x:c>
      <x:c r="L25" s="26" t="str">
        <x:v>Pass</x:v>
      </x:c>
      <x:c r="M25" s="26" t="str">
        <x:v>7bc85a26-d51c-455f-a8d5-557b9f1c5a41</x:v>
      </x:c>
      <x:c r="N25" s="26" t="str">
        <x:v>Pass</x:v>
      </x:c>
      <x:c r="O25" s="26" t="str">
        <x:v>Production sheet card manually opened; description, weight/price and data-owned mechanic are visible. Active light/check actions are exposed where applicable; container/pack rules are explicit. Production id: 987d84a6-924c-49d6-9e08-262e72c00400</x:v>
      </x:c>
      <x:c r="P25" s="26" t="str">
        <x:v>https://www.dndbeyond.com/sources/dnd/br-2024/equipment</x:v>
      </x:c>
    </x:row>
    <x:row r="26" ht="54" customHeight="1">
      <x:c r="A26" s="28" t="n">
        <x:v>22</x:v>
      </x:c>
      <x:c r="B26" s="26" t="str">
        <x:v>Контейнер</x:v>
      </x:c>
      <x:c r="C26" s="26" t="str">
        <x:v>Колчан</x:v>
      </x:c>
      <x:c r="D26" s="26" t="str">
        <x:v>Quiver</x:v>
      </x:c>
      <x:c r="E26" s="26" t="str">
        <x:v>20 стрел</x:v>
      </x:c>
      <x:c r="F26" s="26" t="str">
        <x:v>Предмет даёт данными описанное действие/эффект; трата и результат видны.</x:v>
      </x:c>
      <x:c r="G26" s="29" t="str">
        <x:v>CARD-0729</x:v>
      </x:c>
      <x:c r="H26" s="29" t="str">
        <x:v>Matched</x:v>
      </x:c>
      <x:c r="I26" s="29" t="n">
        <x:v>0</x:v>
      </x:c>
      <x:c r="J26" s="26" t="str">
        <x:v>Pass</x:v>
      </x:c>
      <x:c r="K26" s="26" t="str">
        <x:v>N/A</x:v>
      </x:c>
      <x:c r="L26" s="26" t="str">
        <x:v>Pass</x:v>
      </x:c>
      <x:c r="M26" s="26" t="str">
        <x:v>7bc85a26-d51c-455f-a8d5-557b9f1c5a41</x:v>
      </x:c>
      <x:c r="N26" s="26" t="str">
        <x:v>Pass</x:v>
      </x:c>
      <x:c r="O26" s="26" t="str">
        <x:v>Production sheet card manually opened; description, weight/price and data-owned mechanic are visible. Active light/check actions are exposed where applicable; container/pack rules are explicit. Production id: 148bffd3-d797-47a5-b66c-c7d3d04e9c00</x:v>
      </x:c>
      <x:c r="P26" s="26" t="str">
        <x:v>https://www.dndbeyond.com/sources/dnd/br-2024/equipment</x:v>
      </x:c>
    </x:row>
    <x:row r="27" ht="54" customHeight="1">
      <x:c r="A27" s="28" t="n">
        <x:v>23</x:v>
      </x:c>
      <x:c r="B27" s="26" t="str">
        <x:v>Контейнер</x:v>
      </x:c>
      <x:c r="C27" s="26" t="str">
        <x:v>Футляр для арбалетных болтов</x:v>
      </x:c>
      <x:c r="D27" s="26" t="str">
        <x:v>Crossbow Bolt Case</x:v>
      </x:c>
      <x:c r="E27" s="26" t="str">
        <x:v>20 болтов</x:v>
      </x:c>
      <x:c r="F27" s="26" t="str">
        <x:v>Предмет даёт данными описанное действие/эффект; трата и результат видны.</x:v>
      </x:c>
      <x:c r="G27" s="29" t="str">
        <x:v>CARD-0828</x:v>
      </x:c>
      <x:c r="H27" s="29" t="str">
        <x:v>Matched</x:v>
      </x:c>
      <x:c r="I27" s="29" t="n">
        <x:v>0</x:v>
      </x:c>
      <x:c r="J27" s="26" t="str">
        <x:v>Pass</x:v>
      </x:c>
      <x:c r="K27" s="26" t="str">
        <x:v>N/A</x:v>
      </x:c>
      <x:c r="L27" s="26" t="str">
        <x:v>Pass</x:v>
      </x:c>
      <x:c r="M27" s="26" t="str">
        <x:v>7bc85a26-d51c-455f-a8d5-557b9f1c5a41</x:v>
      </x:c>
      <x:c r="N27" s="26" t="str">
        <x:v>Pass</x:v>
      </x:c>
      <x:c r="O27" s="26" t="str">
        <x:v>Production sheet card manually opened; description, weight/price and data-owned mechanic are visible. Active light/check actions are exposed where applicable; container/pack rules are explicit. Production id: 5b2aeac7-ae9a-41f4-84dc-0777af70c290</x:v>
      </x:c>
      <x:c r="P27" s="26" t="str">
        <x:v>https://www.dndbeyond.com/sources/dnd/br-2024/equipment</x:v>
      </x:c>
    </x:row>
    <x:row r="28" ht="54" customHeight="1">
      <x:c r="A28" s="28" t="n">
        <x:v>24</x:v>
      </x:c>
      <x:c r="B28" s="26" t="str">
        <x:v>Контейнер</x:v>
      </x:c>
      <x:c r="C28" s="26" t="str">
        <x:v>Тубус для карт и свитков</x:v>
      </x:c>
      <x:c r="D28" s="26" t="str">
        <x:v>Map or Scroll Case</x:v>
      </x:c>
      <x:c r="E28" s="26" t="str">
        <x:v>10 листов бумаги / 5 пергамента</x:v>
      </x:c>
      <x:c r="F28" s="26" t="str">
        <x:v>Предмет даёт данными описанное действие/эффект; трата и результат видны.</x:v>
      </x:c>
      <x:c r="G28" s="29" t="str">
        <x:v>CARD-0821</x:v>
      </x:c>
      <x:c r="H28" s="29" t="str">
        <x:v>Matched</x:v>
      </x:c>
      <x:c r="I28" s="29" t="n">
        <x:v>0</x:v>
      </x:c>
      <x:c r="J28" s="26" t="str">
        <x:v>Pass</x:v>
      </x:c>
      <x:c r="K28" s="26" t="str">
        <x:v>N/A</x:v>
      </x:c>
      <x:c r="L28" s="26" t="str">
        <x:v>Pass</x:v>
      </x:c>
      <x:c r="M28" s="26" t="str">
        <x:v>7bc85a26-d51c-455f-a8d5-557b9f1c5a41</x:v>
      </x:c>
      <x:c r="N28" s="26" t="str">
        <x:v>Pass</x:v>
      </x:c>
      <x:c r="O28" s="26" t="str">
        <x:v>Production sheet card manually opened; description, weight/price and data-owned mechanic are visible. Active light/check actions are exposed where applicable; container/pack rules are explicit. Production id: 323179a5-49b2-4276-aa2f-4e9ec42086de</x:v>
      </x:c>
      <x:c r="P28" s="26" t="str">
        <x:v>https://www.dndbeyond.com/sources/dnd/br-2024/equipment</x:v>
      </x:c>
    </x:row>
    <x:row r="29" ht="54" customHeight="1">
      <x:c r="A29" s="28" t="n">
        <x:v>25</x:v>
      </x:c>
      <x:c r="B29" s="26" t="str">
        <x:v>Набор</x:v>
      </x:c>
      <x:c r="C29" s="26" t="str">
        <x:v>Набор взломщика</x:v>
      </x:c>
      <x:c r="D29" s="26" t="str">
        <x:v>Burglar's Pack</x:v>
      </x:c>
      <x:c r="E29" s="26" t="str">
        <x:v>распаковка точного состава</x:v>
      </x:c>
      <x:c r="F29" s="26" t="str">
        <x:v>Предмет даёт данными описанное действие/эффект; трата и результат видны.</x:v>
      </x:c>
      <x:c r="G29" s="29" t="str">
        <x:v>CARD-0803</x:v>
      </x:c>
      <x:c r="H29" s="29" t="str">
        <x:v>Matched</x:v>
      </x:c>
      <x:c r="I29" s="29" t="n">
        <x:v>0</x:v>
      </x:c>
      <x:c r="J29" s="26" t="str">
        <x:v>Pass</x:v>
      </x:c>
      <x:c r="K29" s="26" t="str">
        <x:v>N/A</x:v>
      </x:c>
      <x:c r="L29" s="26" t="str">
        <x:v>Pass</x:v>
      </x:c>
      <x:c r="M29" s="26" t="str">
        <x:v>7bc85a26-d51c-455f-a8d5-557b9f1c5a41</x:v>
      </x:c>
      <x:c r="N29" s="26" t="str">
        <x:v>Pass</x:v>
      </x:c>
      <x:c r="O29" s="26" t="str">
        <x:v>Production sheet card manually opened; description, weight/price and data-owned mechanic are visible. Active light/check actions are exposed where applicable; container/pack rules are explicit. Production id: 3b12578b-79e2-4091-84d8-d875e4a81174</x:v>
      </x:c>
      <x:c r="P29" s="26" t="str">
        <x:v>https://www.dndbeyond.com/sources/dnd/br-2024/equipment</x:v>
      </x:c>
    </x:row>
    <x:row r="30" ht="54" customHeight="1">
      <x:c r="A30" s="28" t="n">
        <x:v>26</x:v>
      </x:c>
      <x:c r="B30" s="26" t="str">
        <x:v>Набор</x:v>
      </x:c>
      <x:c r="C30" s="26" t="str">
        <x:v>Набор дипломата</x:v>
      </x:c>
      <x:c r="D30" s="26" t="str">
        <x:v>Diplomat's Pack</x:v>
      </x:c>
      <x:c r="E30" s="26" t="str">
        <x:v>распаковка точного состава</x:v>
      </x:c>
      <x:c r="F30" s="26" t="str">
        <x:v>Предмет даёт данными описанное действие/эффект; трата и результат видны.</x:v>
      </x:c>
      <x:c r="G30" s="29" t="str">
        <x:v>CARD-0804</x:v>
      </x:c>
      <x:c r="H30" s="29" t="str">
        <x:v>Matched</x:v>
      </x:c>
      <x:c r="I30" s="29" t="n">
        <x:v>0</x:v>
      </x:c>
      <x:c r="J30" s="26" t="str">
        <x:v>Pass</x:v>
      </x:c>
      <x:c r="K30" s="26" t="str">
        <x:v>N/A</x:v>
      </x:c>
      <x:c r="L30" s="26" t="str">
        <x:v>Pass</x:v>
      </x:c>
      <x:c r="M30" s="26" t="str">
        <x:v>7bc85a26-d51c-455f-a8d5-557b9f1c5a41</x:v>
      </x:c>
      <x:c r="N30" s="26" t="str">
        <x:v>Pass</x:v>
      </x:c>
      <x:c r="O30" s="26" t="str">
        <x:v>Production sheet card manually opened; description, weight/price and data-owned mechanic are visible. Active light/check actions are exposed where applicable; container/pack rules are explicit. Production id: 4171227d-ac21-48d1-9394-56e0d8e7d0fe</x:v>
      </x:c>
      <x:c r="P30" s="26" t="str">
        <x:v>https://www.dndbeyond.com/sources/dnd/br-2024/equipment</x:v>
      </x:c>
    </x:row>
    <x:row r="31" ht="54" customHeight="1">
      <x:c r="A31" s="28" t="n">
        <x:v>27</x:v>
      </x:c>
      <x:c r="B31" s="26" t="str">
        <x:v>Набор</x:v>
      </x:c>
      <x:c r="C31" s="26" t="str">
        <x:v>Набор исследователя подземелий</x:v>
      </x:c>
      <x:c r="D31" s="26" t="str">
        <x:v>Dungeoneer's Pack</x:v>
      </x:c>
      <x:c r="E31" s="26" t="str">
        <x:v>распаковка точного состава</x:v>
      </x:c>
      <x:c r="F31" s="26" t="str">
        <x:v>Предмет даёт данными описанное действие/эффект; трата и результат видны.</x:v>
      </x:c>
      <x:c r="G31" s="29" t="str">
        <x:v>CARD-0805</x:v>
      </x:c>
      <x:c r="H31" s="29" t="str">
        <x:v>Matched</x:v>
      </x:c>
      <x:c r="I31" s="29" t="n">
        <x:v>0</x:v>
      </x:c>
      <x:c r="J31" s="26" t="str">
        <x:v>Pass</x:v>
      </x:c>
      <x:c r="K31" s="26" t="str">
        <x:v>N/A</x:v>
      </x:c>
      <x:c r="L31" s="26" t="str">
        <x:v>Pass</x:v>
      </x:c>
      <x:c r="M31" s="26" t="str">
        <x:v>7bc85a26-d51c-455f-a8d5-557b9f1c5a41</x:v>
      </x:c>
      <x:c r="N31" s="26" t="str">
        <x:v>Pass</x:v>
      </x:c>
      <x:c r="O31" s="26" t="str">
        <x:v>Production sheet card manually opened; description, weight/price and data-owned mechanic are visible. Active light/check actions are exposed where applicable; container/pack rules are explicit. Production id: b69b42ed-e9b5-4e69-933f-6d95d5e75344</x:v>
      </x:c>
      <x:c r="P31" s="26" t="str">
        <x:v>https://www.dndbeyond.com/sources/dnd/br-2024/equipment</x:v>
      </x:c>
    </x:row>
    <x:row r="32" ht="54" customHeight="1">
      <x:c r="A32" s="28" t="n">
        <x:v>28</x:v>
      </x:c>
      <x:c r="B32" s="26" t="str">
        <x:v>Набор</x:v>
      </x:c>
      <x:c r="C32" s="26" t="str">
        <x:v>Набор артиста</x:v>
      </x:c>
      <x:c r="D32" s="26" t="str">
        <x:v>Entertainer's Pack</x:v>
      </x:c>
      <x:c r="E32" s="26" t="str">
        <x:v>распаковка точного состава</x:v>
      </x:c>
      <x:c r="F32" s="26" t="str">
        <x:v>Предмет даёт данными описанное действие/эффект; трата и результат видны.</x:v>
      </x:c>
      <x:c r="G32" s="29" t="str">
        <x:v>CARD-0802</x:v>
      </x:c>
      <x:c r="H32" s="29" t="str">
        <x:v>Matched</x:v>
      </x:c>
      <x:c r="I32" s="29" t="n">
        <x:v>0</x:v>
      </x:c>
      <x:c r="J32" s="26" t="str">
        <x:v>Pass</x:v>
      </x:c>
      <x:c r="K32" s="26" t="str">
        <x:v>N/A</x:v>
      </x:c>
      <x:c r="L32" s="26" t="str">
        <x:v>Pass</x:v>
      </x:c>
      <x:c r="M32" s="26" t="str">
        <x:v>7bc85a26-d51c-455f-a8d5-557b9f1c5a41</x:v>
      </x:c>
      <x:c r="N32" s="26" t="str">
        <x:v>Pass</x:v>
      </x:c>
      <x:c r="O32" s="26" t="str">
        <x:v>Production sheet card manually opened; description, weight/price and data-owned mechanic are visible. Active light/check actions are exposed where applicable; container/pack rules are explicit. Production id: cec5457b-819c-4e2e-9d8f-d55ec6e18eec</x:v>
      </x:c>
      <x:c r="P32" s="26" t="str">
        <x:v>https://www.dndbeyond.com/sources/dnd/br-2024/equipment</x:v>
      </x:c>
    </x:row>
    <x:row r="33" ht="54" customHeight="1">
      <x:c r="A33" s="28" t="n">
        <x:v>29</x:v>
      </x:c>
      <x:c r="B33" s="26" t="str">
        <x:v>Набор</x:v>
      </x:c>
      <x:c r="C33" s="26" t="str">
        <x:v>Набор путешественника</x:v>
      </x:c>
      <x:c r="D33" s="26" t="str">
        <x:v>Explorer's Pack</x:v>
      </x:c>
      <x:c r="E33" s="26" t="str">
        <x:v>распаковка точного состава</x:v>
      </x:c>
      <x:c r="F33" s="26" t="str">
        <x:v>Предмет даёт данными описанное действие/эффект; трата и результат видны.</x:v>
      </x:c>
      <x:c r="G33" s="29" t="str">
        <x:v>CARD-0806</x:v>
      </x:c>
      <x:c r="H33" s="29" t="str">
        <x:v>Matched</x:v>
      </x:c>
      <x:c r="I33" s="29" t="n">
        <x:v>0</x:v>
      </x:c>
      <x:c r="J33" s="26" t="str">
        <x:v>Pass</x:v>
      </x:c>
      <x:c r="K33" s="26" t="str">
        <x:v>N/A</x:v>
      </x:c>
      <x:c r="L33" s="26" t="str">
        <x:v>Pass</x:v>
      </x:c>
      <x:c r="M33" s="26" t="str">
        <x:v>7bc85a26-d51c-455f-a8d5-557b9f1c5a41</x:v>
      </x:c>
      <x:c r="N33" s="26" t="str">
        <x:v>Pass</x:v>
      </x:c>
      <x:c r="O33" s="26" t="str">
        <x:v>Production sheet card manually opened; description, weight/price and data-owned mechanic are visible. Active light/check actions are exposed where applicable; container/pack rules are explicit. Production id: d4cc20a6-0f32-49c3-80c4-7ecc2c0023d1</x:v>
      </x:c>
      <x:c r="P33" s="26" t="str">
        <x:v>https://www.dndbeyond.com/sources/dnd/br-2024/equipment</x:v>
      </x:c>
    </x:row>
    <x:row r="34" ht="54" customHeight="1">
      <x:c r="A34" s="28" t="n">
        <x:v>30</x:v>
      </x:c>
      <x:c r="B34" s="26" t="str">
        <x:v>Набор</x:v>
      </x:c>
      <x:c r="C34" s="26" t="str">
        <x:v>Набор священника</x:v>
      </x:c>
      <x:c r="D34" s="26" t="str">
        <x:v>Priest's Pack</x:v>
      </x:c>
      <x:c r="E34" s="26" t="str">
        <x:v>распаковка точного состава</x:v>
      </x:c>
      <x:c r="F34" s="26" t="str">
        <x:v>Предмет даёт данными описанное действие/эффект; трата и результат видны.</x:v>
      </x:c>
      <x:c r="G34" s="29" t="str">
        <x:v>CARD-0409</x:v>
      </x:c>
      <x:c r="H34" s="29" t="str">
        <x:v>Matched</x:v>
      </x:c>
      <x:c r="I34" s="29" t="n">
        <x:v>0</x:v>
      </x:c>
      <x:c r="J34" s="26" t="str">
        <x:v>Pass</x:v>
      </x:c>
      <x:c r="K34" s="26" t="str">
        <x:v>N/A</x:v>
      </x:c>
      <x:c r="L34" s="26" t="str">
        <x:v>Pass</x:v>
      </x:c>
      <x:c r="M34" s="26" t="str">
        <x:v>7bc85a26-d51c-455f-a8d5-557b9f1c5a41</x:v>
      </x:c>
      <x:c r="N34" s="26" t="str">
        <x:v>Pass</x:v>
      </x:c>
      <x:c r="O34" s="26" t="str">
        <x:v>Production sheet card manually opened; description, weight/price and data-owned mechanic are visible. Active light/check actions are exposed where applicable; container/pack rules are explicit. Production id: 2962d201-e449-4b4c-bfee-6e91b7c36e94</x:v>
      </x:c>
      <x:c r="P34" s="26" t="str">
        <x:v>https://www.dndbeyond.com/sources/dnd/br-2024/equipment</x:v>
      </x:c>
    </x:row>
    <x:row r="35" ht="54" customHeight="1">
      <x:c r="A35" s="28" t="n">
        <x:v>31</x:v>
      </x:c>
      <x:c r="B35" s="26" t="str">
        <x:v>Набор</x:v>
      </x:c>
      <x:c r="C35" s="26" t="str">
        <x:v>Набор учёного</x:v>
      </x:c>
      <x:c r="D35" s="26" t="str">
        <x:v>Scholar's Pack</x:v>
      </x:c>
      <x:c r="E35" s="26" t="str">
        <x:v>распаковка точного состава</x:v>
      </x:c>
      <x:c r="F35" s="26" t="str">
        <x:v>Предмет даёт данными описанное действие/эффект; трата и результат видны.</x:v>
      </x:c>
      <x:c r="G35" s="29" t="str">
        <x:v>CARD-0807</x:v>
      </x:c>
      <x:c r="H35" s="29" t="str">
        <x:v>Matched</x:v>
      </x:c>
      <x:c r="I35" s="29" t="n">
        <x:v>0</x:v>
      </x:c>
      <x:c r="J35" s="26" t="str">
        <x:v>Pass</x:v>
      </x:c>
      <x:c r="K35" s="26" t="str">
        <x:v>N/A</x:v>
      </x:c>
      <x:c r="L35" s="26" t="str">
        <x:v>Pass</x:v>
      </x:c>
      <x:c r="M35" s="26" t="str">
        <x:v>7bc85a26-d51c-455f-a8d5-557b9f1c5a41</x:v>
      </x:c>
      <x:c r="N35" s="26" t="str">
        <x:v>Pass</x:v>
      </x:c>
      <x:c r="O35" s="26" t="str">
        <x:v>Production sheet card manually opened; description, weight/price and data-owned mechanic are visible. Active light/check actions are exposed where applicable; container/pack rules are explicit. Production id: 4abcd64f-6292-4c44-aaa5-6d749a9d9e89</x:v>
      </x:c>
      <x:c r="P35" s="26" t="str">
        <x:v>https://www.dndbeyond.com/sources/dnd/br-2024/equipment</x:v>
      </x:c>
    </x:row>
  </x:sheetData>
  <x:mergeCells>
    <x:mergeCell ref="A1:P2"/>
    <x:mergeCell ref="A3:P3"/>
  </x:mergeCells>
  <x:conditionalFormatting sqref="N5:N35">
    <x:cfRule type="containsText" dxfId="12" priority="1" operator="containsText" text="Pass"/>
    <x:cfRule type="containsText" dxfId="13" priority="2" operator="containsText" text="Fail"/>
  </x:conditionalFormatting>
  <x:conditionalFormatting sqref="H5:H35">
    <x:cfRule type="containsText" dxfId="14" priority="3" operator="containsText" text="Missing"/>
  </x:conditionalFormatting>
  <x:dataValidations count="4">
    <x:dataValidation type="list" sqref="J5:J35">
      <x:formula1>"Pending,Pass,Fail,Blocked,N/A"</x:formula1>
    </x:dataValidation>
    <x:dataValidation type="list" sqref="K5:K35">
      <x:formula1>"Pending,Pass,Fail,Blocked,N/A"</x:formula1>
    </x:dataValidation>
    <x:dataValidation type="list" sqref="L5:L35">
      <x:formula1>"Pending,Pass,Fail,Blocked,N/A"</x:formula1>
    </x:dataValidation>
    <x:dataValidation type="list" sqref="N5:N35">
      <x:formula1>"Pending,Pass,Fail,Blocked,N/A"</x:formula1>
    </x:dataValidation>
  </x:dataValidations>
  <x:pageMargins left="0.7" right="0.7" top="0.75" bottom="0.75" header="0.3" footer="0.3"/>
  <x:legacyDrawing xmlns:r="http://schemas.openxmlformats.org/officeDocument/2006/relationships" r:id="R9e1ace3558844237"/>
  <x:tableParts count="1">
    <x:tablePart xmlns:r="http://schemas.openxmlformats.org/officeDocument/2006/relationships" r:id="Re3b9bbef377f486c"/>
  </x:tableParts>
</x:worksheet>
</file>